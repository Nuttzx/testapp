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ations" sheetId="1" state="visible" r:id="rId3"/>
    <sheet name="Assumptions" sheetId="2" state="visible" r:id="rId4"/>
    <sheet name="Backte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<sst xmlns="http://schemas.openxmlformats.org/spreadsheetml/2006/main" count="1561" uniqueCount="156">
  <si>
    <t xml:space="preserve">set</t>
  </si>
  <si>
    <t xml:space="preserve">number</t>
  </si>
  <si>
    <t xml:space="preserve">card</t>
  </si>
  <si>
    <t xml:space="preserve">edition</t>
  </si>
  <si>
    <t xml:space="preserve">grade</t>
  </si>
  <si>
    <t xml:space="preserve">fair_value</t>
  </si>
  <si>
    <t xml:space="preserve">band_low</t>
  </si>
  <si>
    <t xml:space="preserve">band_high</t>
  </si>
  <si>
    <t xml:space="preserve">last_sale</t>
  </si>
  <si>
    <t xml:space="preserve">last_sale_date</t>
  </si>
  <si>
    <t xml:space="preserve">sales_12m</t>
  </si>
  <si>
    <t xml:space="preserve">liquidity</t>
  </si>
  <si>
    <t xml:space="preserve">decision_grade</t>
  </si>
  <si>
    <t xml:space="preserve">collectr</t>
  </si>
  <si>
    <t xml:space="preserve">collectr_vs_fv</t>
  </si>
  <si>
    <t xml:space="preserve">max_buy_EU</t>
  </si>
  <si>
    <t xml:space="preserve">max_buy_US</t>
  </si>
  <si>
    <t xml:space="preserve">Neo Genesis</t>
  </si>
  <si>
    <t xml:space="preserve">Meganium</t>
  </si>
  <si>
    <t xml:space="preserve">1st</t>
  </si>
  <si>
    <t xml:space="preserve">PSA 10</t>
  </si>
  <si>
    <t xml:space="preserve">2026-05-18</t>
  </si>
  <si>
    <t xml:space="preserve">liq</t>
  </si>
  <si>
    <t xml:space="preserve">YES</t>
  </si>
  <si>
    <t xml:space="preserve">PSA 8</t>
  </si>
  <si>
    <t xml:space="preserve">2026-09-26</t>
  </si>
  <si>
    <t xml:space="preserve">PSA 9</t>
  </si>
  <si>
    <t xml:space="preserve">2026-09-12</t>
  </si>
  <si>
    <t xml:space="preserve">unl</t>
  </si>
  <si>
    <t xml:space="preserve">2024-03-26</t>
  </si>
  <si>
    <t xml:space="preserve">thin</t>
  </si>
  <si>
    <t xml:space="preserve">NO (thin: wide error)</t>
  </si>
  <si>
    <t xml:space="preserve">2026-09-27</t>
  </si>
  <si>
    <t xml:space="preserve">2026-08-06</t>
  </si>
  <si>
    <t xml:space="preserve">2026-09-05</t>
  </si>
  <si>
    <t xml:space="preserve">2026-09-28</t>
  </si>
  <si>
    <t xml:space="preserve">2026-05-03</t>
  </si>
  <si>
    <t xml:space="preserve">2026-09-03</t>
  </si>
  <si>
    <t xml:space="preserve">2026-09-07</t>
  </si>
  <si>
    <t xml:space="preserve">Pichu</t>
  </si>
  <si>
    <t xml:space="preserve">2025-03-15</t>
  </si>
  <si>
    <t xml:space="preserve">2026-09-14</t>
  </si>
  <si>
    <t xml:space="preserve">2026-09-25</t>
  </si>
  <si>
    <t xml:space="preserve">2026-09-13</t>
  </si>
  <si>
    <t xml:space="preserve">Skarmory</t>
  </si>
  <si>
    <t xml:space="preserve">2026-08-31</t>
  </si>
  <si>
    <t xml:space="preserve">2026-09-18</t>
  </si>
  <si>
    <t xml:space="preserve">2026-05-20</t>
  </si>
  <si>
    <t xml:space="preserve">2026-09-08</t>
  </si>
  <si>
    <t xml:space="preserve">2026-09-21</t>
  </si>
  <si>
    <t xml:space="preserve">Slowking</t>
  </si>
  <si>
    <t xml:space="preserve">2025-02-25</t>
  </si>
  <si>
    <t xml:space="preserve">2025-03-29</t>
  </si>
  <si>
    <t xml:space="preserve">2026-09-20</t>
  </si>
  <si>
    <t xml:space="preserve">Steelix</t>
  </si>
  <si>
    <t xml:space="preserve">2026-09-22</t>
  </si>
  <si>
    <t xml:space="preserve">Togetic</t>
  </si>
  <si>
    <t xml:space="preserve">2026-09-19</t>
  </si>
  <si>
    <t xml:space="preserve">2026-08-09</t>
  </si>
  <si>
    <t xml:space="preserve">2026-09-16</t>
  </si>
  <si>
    <t xml:space="preserve">2026-09-24</t>
  </si>
  <si>
    <t xml:space="preserve">Typhlosion</t>
  </si>
  <si>
    <t xml:space="preserve">2026-08-30</t>
  </si>
  <si>
    <t xml:space="preserve">2026-09-17</t>
  </si>
  <si>
    <t xml:space="preserve">Metal Energy</t>
  </si>
  <si>
    <t xml:space="preserve">2026-04-26</t>
  </si>
  <si>
    <t xml:space="preserve">2026-08-03</t>
  </si>
  <si>
    <t xml:space="preserve">2025-08-10</t>
  </si>
  <si>
    <t xml:space="preserve">2026-07-12</t>
  </si>
  <si>
    <t xml:space="preserve">2025-12-15</t>
  </si>
  <si>
    <t xml:space="preserve">Ampharos</t>
  </si>
  <si>
    <t xml:space="preserve">2026-09-11</t>
  </si>
  <si>
    <t xml:space="preserve">2026-09-23</t>
  </si>
  <si>
    <t xml:space="preserve">2026-08-17</t>
  </si>
  <si>
    <t xml:space="preserve">Azumarill</t>
  </si>
  <si>
    <t xml:space="preserve">2026-04-19</t>
  </si>
  <si>
    <t xml:space="preserve">Bellossom</t>
  </si>
  <si>
    <t xml:space="preserve">2026-09-01</t>
  </si>
  <si>
    <t xml:space="preserve">Feraligatr</t>
  </si>
  <si>
    <t xml:space="preserve">2026-08-07</t>
  </si>
  <si>
    <t xml:space="preserve">2025-01-08</t>
  </si>
  <si>
    <t xml:space="preserve">2025-12-07</t>
  </si>
  <si>
    <t xml:space="preserve">2026-08-02</t>
  </si>
  <si>
    <t xml:space="preserve">Heracross</t>
  </si>
  <si>
    <t xml:space="preserve">2026-03-22</t>
  </si>
  <si>
    <t xml:space="preserve">2026-05-28</t>
  </si>
  <si>
    <t xml:space="preserve">Jumpluff</t>
  </si>
  <si>
    <t xml:space="preserve">2024-10-10</t>
  </si>
  <si>
    <t xml:space="preserve">2026-09-04</t>
  </si>
  <si>
    <t xml:space="preserve">Kingdra</t>
  </si>
  <si>
    <t xml:space="preserve">2026-05-23</t>
  </si>
  <si>
    <t xml:space="preserve">Lugia</t>
  </si>
  <si>
    <t xml:space="preserve">2026-08-27</t>
  </si>
  <si>
    <t xml:space="preserve">Team Rocket</t>
  </si>
  <si>
    <t xml:space="preserve">Dark Machamp</t>
  </si>
  <si>
    <t xml:space="preserve">2026-06-27</t>
  </si>
  <si>
    <t xml:space="preserve">Dark Magneton</t>
  </si>
  <si>
    <t xml:space="preserve">Dark Slowbro</t>
  </si>
  <si>
    <t xml:space="preserve">Dark Vileplume</t>
  </si>
  <si>
    <t xml:space="preserve">2026-06-15</t>
  </si>
  <si>
    <t xml:space="preserve">2026-08-29</t>
  </si>
  <si>
    <t xml:space="preserve">Dark Weezing</t>
  </si>
  <si>
    <t xml:space="preserve">2026-03-09</t>
  </si>
  <si>
    <t xml:space="preserve">2026-07-09</t>
  </si>
  <si>
    <t xml:space="preserve">Here Comes Team Rocket!</t>
  </si>
  <si>
    <t xml:space="preserve">2026-09-09</t>
  </si>
  <si>
    <t xml:space="preserve">Rocket's Sneak Attack</t>
  </si>
  <si>
    <t xml:space="preserve">2026-09-06</t>
  </si>
  <si>
    <t xml:space="preserve">2026-08-13</t>
  </si>
  <si>
    <t xml:space="preserve">2026-09-10</t>
  </si>
  <si>
    <t xml:space="preserve">Rainbow Energy</t>
  </si>
  <si>
    <t xml:space="preserve">2026-08-18</t>
  </si>
  <si>
    <t xml:space="preserve">2025-10-02</t>
  </si>
  <si>
    <t xml:space="preserve">2026-05-17</t>
  </si>
  <si>
    <t xml:space="preserve">Dark Alakazam</t>
  </si>
  <si>
    <t xml:space="preserve">Dark Arbok</t>
  </si>
  <si>
    <t xml:space="preserve">2026-03-30</t>
  </si>
  <si>
    <t xml:space="preserve">Dark Blastoise</t>
  </si>
  <si>
    <t xml:space="preserve">2024-10-13</t>
  </si>
  <si>
    <t xml:space="preserve">2026-08-26</t>
  </si>
  <si>
    <t xml:space="preserve">Dark Charizard</t>
  </si>
  <si>
    <t xml:space="preserve">2026-05-10</t>
  </si>
  <si>
    <t xml:space="preserve">Dark Dragonite</t>
  </si>
  <si>
    <t xml:space="preserve">2026-05-11</t>
  </si>
  <si>
    <t xml:space="preserve">Dark Dugtrio</t>
  </si>
  <si>
    <t xml:space="preserve">2026-08-22</t>
  </si>
  <si>
    <t xml:space="preserve">Dark Golbat</t>
  </si>
  <si>
    <t xml:space="preserve">2025-09-18</t>
  </si>
  <si>
    <t xml:space="preserve">Dark Raichu</t>
  </si>
  <si>
    <t xml:space="preserve">2026-09-15</t>
  </si>
  <si>
    <t xml:space="preserve">2026-07-23</t>
  </si>
  <si>
    <t xml:space="preserve">Dark Gyarados</t>
  </si>
  <si>
    <t xml:space="preserve">Dark Hypno</t>
  </si>
  <si>
    <t xml:space="preserve">2026-07-20</t>
  </si>
  <si>
    <t xml:space="preserve">Sell fee</t>
  </si>
  <si>
    <t xml:space="preserve">Insurance</t>
  </si>
  <si>
    <t xml:space="preserve">Flip net target</t>
  </si>
  <si>
    <t xml:space="preserve">Landed buy cost EU</t>
  </si>
  <si>
    <t xml:space="preserve">Landed buy cost US</t>
  </si>
  <si>
    <t xml:space="preserve">Landed buy costs are assumptions; replace with your real figures.</t>
  </si>
  <si>
    <t xml:space="preserve">Walk-forward backtest: Oct 2025–Sep 2026, 3,174 sales, each predicted with data before its month only</t>
  </si>
  <si>
    <t xml:space="preserve">Grade</t>
  </si>
  <si>
    <t xml:space="preserve">Model median abs error | Last-sale median abs error</t>
  </si>
  <si>
    <t xml:space="preserve">19.4% | 20.1%</t>
  </si>
  <si>
    <t xml:space="preserve">15.4% | 17.2%</t>
  </si>
  <si>
    <t xml:space="preserve">13.7% | 16.1%</t>
  </si>
  <si>
    <t xml:space="preserve">PSA 10 thin (effective sales &lt;2)</t>
  </si>
  <si>
    <t xml:space="preserve">38–47% | 36–62% → not decision-grade</t>
  </si>
  <si>
    <t xml:space="preserve">PSA 10 last sale &gt;180 days old</t>
  </si>
  <si>
    <t xml:space="preserve">48% | 71%</t>
  </si>
  <si>
    <t xml:space="preserve">P10–P90 band coverage (target 80%)</t>
  </si>
  <si>
    <t xml:space="preserve">81% (n=2,874)</t>
  </si>
  <si>
    <t xml:space="preserve">Method</t>
  </si>
  <si>
    <t xml:space="preserve">Monthly market index per grade (fixed-effects, 3-month smoothed); own sales index-adjusted, 90-day half-life, weighted median; comps from adjacent grade × segment ratio; credibility blend k=2; final = 50/50 with last sale for PSA 10/9 (model only for PSA 8 or last sale &gt;180d); bands = out-of-sample residual quantiles by grade × liquidity.</t>
  </si>
  <si>
    <t xml:space="preserve">Data</t>
  </si>
  <si>
    <t xml:space="preserve">PSA sales NG+TR (PriceCharting + PSA APR for TR), 2023-09-29 to 2026-09-28; 3 suspect Lugia 1st PSA10 rows excluded. NG PSA APR additions file (111 rows) NOT included — Neo Genesis PSA 10 values understate auction-house sales.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</si>
</sst>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36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n">
        <v>10</v>
      </c>
      <c r="C2" s="0" t="s">
        <v>18</v>
      </c>
      <c r="D2" s="0" t="s">
        <v>19</v>
      </c>
      <c r="E2" s="0" t="s">
        <v>20</v>
      </c>
      <c r="F2" s="2" t="n">
        <v>5336</v>
      </c>
      <c r="G2" s="2" t="n">
        <v>4132</v>
      </c>
      <c r="H2" s="2" t="n">
        <v>9073</v>
      </c>
      <c r="I2" s="2" t="n">
        <v>4600</v>
      </c>
      <c r="J2" s="3" t="s">
        <v>21</v>
      </c>
      <c r="K2" s="0" t="n">
        <v>3</v>
      </c>
      <c r="L2" s="3" t="s">
        <v>22</v>
      </c>
      <c r="M2" s="3" t="s">
        <v>23</v>
      </c>
      <c r="N2" s="2" t="n">
        <v>34952.38</v>
      </c>
      <c r="O2" s="4" t="n">
        <v>5.55029610194903</v>
      </c>
      <c r="P2" s="2" t="n">
        <f aca="false">IF(M2="YES",G2*(1-Assumptions!$B$1-Assumptions!$B$2)/((1+Assumptions!$B$3)*(1+Assumptions!$B$4)),"")</f>
        <v>2885.84126984127</v>
      </c>
      <c r="Q2" s="2" t="n">
        <f aca="false">IF(M2="YES",G2*(1-Assumptions!$B$1-Assumptions!$B$2)/((1+Assumptions!$B$3)*(1+Assumptions!$B$5)),"")</f>
        <v>2424.10666666667</v>
      </c>
    </row>
    <row r="3" customFormat="false" ht="15" hidden="false" customHeight="false" outlineLevel="0" collapsed="false">
      <c r="A3" s="0" t="s">
        <v>17</v>
      </c>
      <c r="B3" s="0" t="n">
        <v>10</v>
      </c>
      <c r="C3" s="0" t="s">
        <v>18</v>
      </c>
      <c r="D3" s="0" t="s">
        <v>19</v>
      </c>
      <c r="E3" s="0" t="s">
        <v>24</v>
      </c>
      <c r="F3" s="2" t="n">
        <v>307</v>
      </c>
      <c r="G3" s="2" t="n">
        <v>243</v>
      </c>
      <c r="H3" s="2" t="n">
        <v>411</v>
      </c>
      <c r="I3" s="2" t="n">
        <v>200</v>
      </c>
      <c r="J3" s="3" t="s">
        <v>25</v>
      </c>
      <c r="K3" s="0" t="n">
        <v>21</v>
      </c>
      <c r="L3" s="3" t="s">
        <v>22</v>
      </c>
      <c r="M3" s="3" t="s">
        <v>23</v>
      </c>
      <c r="N3" s="2" t="n">
        <v>246.64</v>
      </c>
      <c r="O3" s="4" t="n">
        <v>-0.196612377850163</v>
      </c>
      <c r="P3" s="2" t="n">
        <f aca="false">IF(M3="YES",G3*(1-Assumptions!$B$1-Assumptions!$B$2)/((1+Assumptions!$B$3)*(1+Assumptions!$B$4)),"")</f>
        <v>169.714285714286</v>
      </c>
      <c r="Q3" s="2" t="n">
        <f aca="false">IF(M3="YES",G3*(1-Assumptions!$B$1-Assumptions!$B$2)/((1+Assumptions!$B$3)*(1+Assumptions!$B$5)),"")</f>
        <v>142.56</v>
      </c>
    </row>
    <row r="4" customFormat="false" ht="15" hidden="false" customHeight="false" outlineLevel="0" collapsed="false">
      <c r="A4" s="0" t="s">
        <v>17</v>
      </c>
      <c r="B4" s="0" t="n">
        <v>10</v>
      </c>
      <c r="C4" s="0" t="s">
        <v>18</v>
      </c>
      <c r="D4" s="0" t="s">
        <v>19</v>
      </c>
      <c r="E4" s="0" t="s">
        <v>26</v>
      </c>
      <c r="F4" s="2" t="n">
        <v>960</v>
      </c>
      <c r="G4" s="2" t="n">
        <v>707</v>
      </c>
      <c r="H4" s="2" t="n">
        <v>1316</v>
      </c>
      <c r="I4" s="2" t="n">
        <v>950</v>
      </c>
      <c r="J4" s="3" t="s">
        <v>27</v>
      </c>
      <c r="K4" s="0" t="n">
        <v>13</v>
      </c>
      <c r="L4" s="3" t="s">
        <v>22</v>
      </c>
      <c r="M4" s="3" t="s">
        <v>23</v>
      </c>
      <c r="N4" s="2" t="n">
        <v>867</v>
      </c>
      <c r="O4" s="4" t="n">
        <v>-0.096875</v>
      </c>
      <c r="P4" s="2" t="n">
        <f aca="false">IF(M4="YES",G4*(1-Assumptions!$B$1-Assumptions!$B$2)/((1+Assumptions!$B$3)*(1+Assumptions!$B$4)),"")</f>
        <v>493.777777777778</v>
      </c>
      <c r="Q4" s="2" t="n">
        <f aca="false">IF(M4="YES",G4*(1-Assumptions!$B$1-Assumptions!$B$2)/((1+Assumptions!$B$3)*(1+Assumptions!$B$5)),"")</f>
        <v>414.773333333333</v>
      </c>
    </row>
    <row r="5" customFormat="false" ht="15" hidden="false" customHeight="false" outlineLevel="0" collapsed="false">
      <c r="A5" s="0" t="s">
        <v>17</v>
      </c>
      <c r="B5" s="0" t="n">
        <v>10</v>
      </c>
      <c r="C5" s="0" t="s">
        <v>18</v>
      </c>
      <c r="D5" s="0" t="s">
        <v>28</v>
      </c>
      <c r="E5" s="0" t="s">
        <v>20</v>
      </c>
      <c r="F5" s="2" t="n">
        <v>1889</v>
      </c>
      <c r="G5" s="2" t="n">
        <v>1431</v>
      </c>
      <c r="H5" s="2" t="n">
        <v>6872</v>
      </c>
      <c r="I5" s="2" t="n">
        <v>915</v>
      </c>
      <c r="J5" s="3" t="s">
        <v>29</v>
      </c>
      <c r="K5" s="0" t="n">
        <v>0</v>
      </c>
      <c r="L5" s="3" t="s">
        <v>30</v>
      </c>
      <c r="M5" s="3" t="s">
        <v>31</v>
      </c>
      <c r="N5" s="2" t="n">
        <v>687.02</v>
      </c>
      <c r="O5" s="4" t="n">
        <v>-0.63630492323981</v>
      </c>
      <c r="P5" s="2" t="str">
        <f aca="false">IF(M5="YES",G5*(1-Assumptions!$B$1-Assumptions!$B$2)/((1+Assumptions!$B$3)*(1+Assumptions!$B$4)),"")</f>
        <v/>
      </c>
      <c r="Q5" s="2" t="str">
        <f aca="false">IF(M5="YES",G5*(1-Assumptions!$B$1-Assumptions!$B$2)/((1+Assumptions!$B$3)*(1+Assumptions!$B$5)),"")</f>
        <v/>
      </c>
    </row>
    <row r="6" customFormat="false" ht="15" hidden="false" customHeight="false" outlineLevel="0" collapsed="false">
      <c r="A6" s="0" t="s">
        <v>17</v>
      </c>
      <c r="B6" s="0" t="n">
        <v>10</v>
      </c>
      <c r="C6" s="0" t="s">
        <v>18</v>
      </c>
      <c r="D6" s="0" t="s">
        <v>28</v>
      </c>
      <c r="E6" s="0" t="s">
        <v>24</v>
      </c>
      <c r="F6" s="2" t="n">
        <v>144</v>
      </c>
      <c r="G6" s="2" t="n">
        <v>114</v>
      </c>
      <c r="H6" s="2" t="n">
        <v>193</v>
      </c>
      <c r="I6" s="2" t="n">
        <v>110</v>
      </c>
      <c r="J6" s="3" t="s">
        <v>32</v>
      </c>
      <c r="K6" s="0" t="n">
        <v>21</v>
      </c>
      <c r="L6" s="3" t="s">
        <v>22</v>
      </c>
      <c r="M6" s="3" t="s">
        <v>23</v>
      </c>
      <c r="N6" s="2" t="n">
        <v>117.64</v>
      </c>
      <c r="O6" s="4" t="n">
        <v>-0.183055555555556</v>
      </c>
      <c r="P6" s="2" t="n">
        <f aca="false">IF(M6="YES",G6*(1-Assumptions!$B$1-Assumptions!$B$2)/((1+Assumptions!$B$3)*(1+Assumptions!$B$4)),"")</f>
        <v>79.6190476190476</v>
      </c>
      <c r="Q6" s="2" t="n">
        <f aca="false">IF(M6="YES",G6*(1-Assumptions!$B$1-Assumptions!$B$2)/((1+Assumptions!$B$3)*(1+Assumptions!$B$5)),"")</f>
        <v>66.88</v>
      </c>
    </row>
    <row r="7" customFormat="false" ht="15" hidden="false" customHeight="false" outlineLevel="0" collapsed="false">
      <c r="A7" s="0" t="s">
        <v>17</v>
      </c>
      <c r="B7" s="0" t="n">
        <v>10</v>
      </c>
      <c r="C7" s="0" t="s">
        <v>18</v>
      </c>
      <c r="D7" s="0" t="s">
        <v>28</v>
      </c>
      <c r="E7" s="0" t="s">
        <v>26</v>
      </c>
      <c r="F7" s="2" t="n">
        <v>181</v>
      </c>
      <c r="G7" s="2" t="n">
        <v>134</v>
      </c>
      <c r="H7" s="2" t="n">
        <v>249</v>
      </c>
      <c r="I7" s="2" t="n">
        <v>162</v>
      </c>
      <c r="J7" s="3" t="s">
        <v>33</v>
      </c>
      <c r="K7" s="0" t="n">
        <v>16</v>
      </c>
      <c r="L7" s="3" t="s">
        <v>22</v>
      </c>
      <c r="M7" s="3" t="s">
        <v>23</v>
      </c>
      <c r="N7" s="2" t="n">
        <v>245.17</v>
      </c>
      <c r="O7" s="4" t="n">
        <v>0.354530386740331</v>
      </c>
      <c r="P7" s="2" t="n">
        <f aca="false">IF(M7="YES",G7*(1-Assumptions!$B$1-Assumptions!$B$2)/((1+Assumptions!$B$3)*(1+Assumptions!$B$4)),"")</f>
        <v>93.5873015873016</v>
      </c>
      <c r="Q7" s="2" t="n">
        <f aca="false">IF(M7="YES",G7*(1-Assumptions!$B$1-Assumptions!$B$2)/((1+Assumptions!$B$3)*(1+Assumptions!$B$5)),"")</f>
        <v>78.6133333333333</v>
      </c>
    </row>
    <row r="8" customFormat="false" ht="15" hidden="false" customHeight="false" outlineLevel="0" collapsed="false">
      <c r="A8" s="0" t="s">
        <v>17</v>
      </c>
      <c r="B8" s="0" t="n">
        <v>11</v>
      </c>
      <c r="C8" s="0" t="s">
        <v>18</v>
      </c>
      <c r="D8" s="0" t="s">
        <v>19</v>
      </c>
      <c r="E8" s="0" t="s">
        <v>20</v>
      </c>
      <c r="F8" s="2" t="n">
        <v>5893</v>
      </c>
      <c r="G8" s="2" t="n">
        <v>4564</v>
      </c>
      <c r="H8" s="2" t="n">
        <v>10021</v>
      </c>
      <c r="I8" s="2" t="n">
        <v>5999</v>
      </c>
      <c r="J8" s="3" t="s">
        <v>34</v>
      </c>
      <c r="K8" s="0" t="n">
        <v>16</v>
      </c>
      <c r="L8" s="3" t="s">
        <v>22</v>
      </c>
      <c r="M8" s="3" t="s">
        <v>23</v>
      </c>
      <c r="N8" s="2" t="n">
        <v>7638.64</v>
      </c>
      <c r="O8" s="4" t="n">
        <v>0.296222637026981</v>
      </c>
      <c r="P8" s="2" t="n">
        <f aca="false">IF(M8="YES",G8*(1-Assumptions!$B$1-Assumptions!$B$2)/((1+Assumptions!$B$3)*(1+Assumptions!$B$4)),"")</f>
        <v>3187.55555555556</v>
      </c>
      <c r="Q8" s="2" t="n">
        <f aca="false">IF(M8="YES",G8*(1-Assumptions!$B$1-Assumptions!$B$2)/((1+Assumptions!$B$3)*(1+Assumptions!$B$5)),"")</f>
        <v>2677.54666666667</v>
      </c>
    </row>
    <row r="9" customFormat="false" ht="15" hidden="false" customHeight="false" outlineLevel="0" collapsed="false">
      <c r="A9" s="0" t="s">
        <v>17</v>
      </c>
      <c r="B9" s="0" t="n">
        <v>11</v>
      </c>
      <c r="C9" s="0" t="s">
        <v>18</v>
      </c>
      <c r="D9" s="0" t="s">
        <v>19</v>
      </c>
      <c r="E9" s="0" t="s">
        <v>24</v>
      </c>
      <c r="F9" s="2" t="n">
        <v>331</v>
      </c>
      <c r="G9" s="2" t="n">
        <v>262</v>
      </c>
      <c r="H9" s="2" t="n">
        <v>444</v>
      </c>
      <c r="I9" s="2" t="n">
        <v>366</v>
      </c>
      <c r="J9" s="3" t="s">
        <v>27</v>
      </c>
      <c r="K9" s="0" t="n">
        <v>23</v>
      </c>
      <c r="L9" s="3" t="s">
        <v>22</v>
      </c>
      <c r="M9" s="3" t="s">
        <v>23</v>
      </c>
      <c r="N9" s="2" t="n">
        <v>401.32</v>
      </c>
      <c r="O9" s="4" t="n">
        <v>0.212447129909366</v>
      </c>
      <c r="P9" s="2" t="n">
        <f aca="false">IF(M9="YES",G9*(1-Assumptions!$B$1-Assumptions!$B$2)/((1+Assumptions!$B$3)*(1+Assumptions!$B$4)),"")</f>
        <v>182.984126984127</v>
      </c>
      <c r="Q9" s="2" t="n">
        <f aca="false">IF(M9="YES",G9*(1-Assumptions!$B$1-Assumptions!$B$2)/((1+Assumptions!$B$3)*(1+Assumptions!$B$5)),"")</f>
        <v>153.706666666667</v>
      </c>
    </row>
    <row r="10" customFormat="false" ht="15" hidden="false" customHeight="false" outlineLevel="0" collapsed="false">
      <c r="A10" s="0" t="s">
        <v>17</v>
      </c>
      <c r="B10" s="0" t="n">
        <v>11</v>
      </c>
      <c r="C10" s="0" t="s">
        <v>18</v>
      </c>
      <c r="D10" s="0" t="s">
        <v>19</v>
      </c>
      <c r="E10" s="0" t="s">
        <v>26</v>
      </c>
      <c r="F10" s="2" t="n">
        <v>532</v>
      </c>
      <c r="G10" s="2" t="n">
        <v>392</v>
      </c>
      <c r="H10" s="2" t="n">
        <v>730</v>
      </c>
      <c r="I10" s="2" t="n">
        <v>572</v>
      </c>
      <c r="J10" s="3" t="s">
        <v>35</v>
      </c>
      <c r="K10" s="0" t="n">
        <v>18</v>
      </c>
      <c r="L10" s="3" t="s">
        <v>22</v>
      </c>
      <c r="M10" s="3" t="s">
        <v>23</v>
      </c>
      <c r="N10" s="2" t="n">
        <v>552.63</v>
      </c>
      <c r="O10" s="4" t="n">
        <v>0.0387781954887218</v>
      </c>
      <c r="P10" s="2" t="n">
        <f aca="false">IF(M10="YES",G10*(1-Assumptions!$B$1-Assumptions!$B$2)/((1+Assumptions!$B$3)*(1+Assumptions!$B$4)),"")</f>
        <v>273.777777777778</v>
      </c>
      <c r="Q10" s="2" t="n">
        <f aca="false">IF(M10="YES",G10*(1-Assumptions!$B$1-Assumptions!$B$2)/((1+Assumptions!$B$3)*(1+Assumptions!$B$5)),"")</f>
        <v>229.973333333333</v>
      </c>
    </row>
    <row r="11" customFormat="false" ht="15" hidden="false" customHeight="false" outlineLevel="0" collapsed="false">
      <c r="A11" s="0" t="s">
        <v>17</v>
      </c>
      <c r="B11" s="0" t="n">
        <v>11</v>
      </c>
      <c r="C11" s="0" t="s">
        <v>18</v>
      </c>
      <c r="D11" s="0" t="s">
        <v>28</v>
      </c>
      <c r="E11" s="0" t="s">
        <v>20</v>
      </c>
      <c r="F11" s="2" t="n">
        <v>2795</v>
      </c>
      <c r="G11" s="2" t="n">
        <v>2165</v>
      </c>
      <c r="H11" s="2" t="n">
        <v>4753</v>
      </c>
      <c r="I11" s="2" t="n">
        <v>2550</v>
      </c>
      <c r="J11" s="3" t="s">
        <v>36</v>
      </c>
      <c r="K11" s="0" t="n">
        <v>4</v>
      </c>
      <c r="L11" s="3" t="s">
        <v>22</v>
      </c>
      <c r="M11" s="3" t="s">
        <v>23</v>
      </c>
      <c r="N11" s="2" t="n">
        <v>3107.14</v>
      </c>
      <c r="O11" s="4" t="n">
        <v>0.111677996422182</v>
      </c>
      <c r="P11" s="2" t="n">
        <f aca="false">IF(M11="YES",G11*(1-Assumptions!$B$1-Assumptions!$B$2)/((1+Assumptions!$B$3)*(1+Assumptions!$B$4)),"")</f>
        <v>1512.06349206349</v>
      </c>
      <c r="Q11" s="2" t="n">
        <f aca="false">IF(M11="YES",G11*(1-Assumptions!$B$1-Assumptions!$B$2)/((1+Assumptions!$B$3)*(1+Assumptions!$B$5)),"")</f>
        <v>1270.13333333333</v>
      </c>
    </row>
    <row r="12" customFormat="false" ht="15" hidden="false" customHeight="false" outlineLevel="0" collapsed="false">
      <c r="A12" s="0" t="s">
        <v>17</v>
      </c>
      <c r="B12" s="0" t="n">
        <v>11</v>
      </c>
      <c r="C12" s="0" t="s">
        <v>18</v>
      </c>
      <c r="D12" s="0" t="s">
        <v>28</v>
      </c>
      <c r="E12" s="0" t="s">
        <v>24</v>
      </c>
      <c r="F12" s="2" t="n">
        <v>120</v>
      </c>
      <c r="G12" s="2" t="n">
        <v>95</v>
      </c>
      <c r="H12" s="2" t="n">
        <v>161</v>
      </c>
      <c r="I12" s="2" t="n">
        <v>123</v>
      </c>
      <c r="J12" s="3" t="s">
        <v>37</v>
      </c>
      <c r="K12" s="0" t="n">
        <v>20</v>
      </c>
      <c r="L12" s="3" t="s">
        <v>22</v>
      </c>
      <c r="M12" s="3" t="s">
        <v>23</v>
      </c>
      <c r="N12" s="2" t="n">
        <v>111.97</v>
      </c>
      <c r="O12" s="4" t="n">
        <v>-0.0669166666666666</v>
      </c>
      <c r="P12" s="2" t="n">
        <f aca="false">IF(M12="YES",G12*(1-Assumptions!$B$1-Assumptions!$B$2)/((1+Assumptions!$B$3)*(1+Assumptions!$B$4)),"")</f>
        <v>66.3492063492063</v>
      </c>
      <c r="Q12" s="2" t="n">
        <f aca="false">IF(M12="YES",G12*(1-Assumptions!$B$1-Assumptions!$B$2)/((1+Assumptions!$B$3)*(1+Assumptions!$B$5)),"")</f>
        <v>55.7333333333333</v>
      </c>
    </row>
    <row r="13" customFormat="false" ht="15" hidden="false" customHeight="false" outlineLevel="0" collapsed="false">
      <c r="A13" s="0" t="s">
        <v>17</v>
      </c>
      <c r="B13" s="0" t="n">
        <v>11</v>
      </c>
      <c r="C13" s="0" t="s">
        <v>18</v>
      </c>
      <c r="D13" s="0" t="s">
        <v>28</v>
      </c>
      <c r="E13" s="0" t="s">
        <v>26</v>
      </c>
      <c r="F13" s="2" t="n">
        <v>169</v>
      </c>
      <c r="G13" s="2" t="n">
        <v>124</v>
      </c>
      <c r="H13" s="2" t="n">
        <v>232</v>
      </c>
      <c r="I13" s="2" t="n">
        <v>140</v>
      </c>
      <c r="J13" s="3" t="s">
        <v>38</v>
      </c>
      <c r="K13" s="0" t="n">
        <v>17</v>
      </c>
      <c r="L13" s="3" t="s">
        <v>22</v>
      </c>
      <c r="M13" s="3" t="s">
        <v>23</v>
      </c>
      <c r="N13" s="2" t="n">
        <v>163.88</v>
      </c>
      <c r="O13" s="4" t="n">
        <v>-0.0302958579881656</v>
      </c>
      <c r="P13" s="2" t="n">
        <f aca="false">IF(M13="YES",G13*(1-Assumptions!$B$1-Assumptions!$B$2)/((1+Assumptions!$B$3)*(1+Assumptions!$B$4)),"")</f>
        <v>86.6031746031746</v>
      </c>
      <c r="Q13" s="2" t="n">
        <f aca="false">IF(M13="YES",G13*(1-Assumptions!$B$1-Assumptions!$B$2)/((1+Assumptions!$B$3)*(1+Assumptions!$B$5)),"")</f>
        <v>72.7466666666667</v>
      </c>
    </row>
    <row r="14" customFormat="false" ht="15" hidden="false" customHeight="false" outlineLevel="0" collapsed="false">
      <c r="A14" s="0" t="s">
        <v>17</v>
      </c>
      <c r="B14" s="0" t="n">
        <v>12</v>
      </c>
      <c r="C14" s="0" t="s">
        <v>39</v>
      </c>
      <c r="D14" s="0" t="s">
        <v>19</v>
      </c>
      <c r="E14" s="0" t="s">
        <v>20</v>
      </c>
      <c r="F14" s="2" t="n">
        <v>17736</v>
      </c>
      <c r="G14" s="2" t="n">
        <v>13434</v>
      </c>
      <c r="H14" s="2" t="n">
        <v>64521</v>
      </c>
      <c r="I14" s="2" t="n">
        <v>9499</v>
      </c>
      <c r="J14" s="3" t="s">
        <v>40</v>
      </c>
      <c r="K14" s="0" t="n">
        <v>0</v>
      </c>
      <c r="L14" s="3" t="s">
        <v>30</v>
      </c>
      <c r="M14" s="3" t="s">
        <v>31</v>
      </c>
      <c r="N14" s="2" t="n">
        <v>68133.96</v>
      </c>
      <c r="O14" s="4" t="n">
        <v>2.84156292286874</v>
      </c>
      <c r="P14" s="2" t="str">
        <f aca="false">IF(M14="YES",G14*(1-Assumptions!$B$1-Assumptions!$B$2)/((1+Assumptions!$B$3)*(1+Assumptions!$B$4)),"")</f>
        <v/>
      </c>
      <c r="Q14" s="2" t="str">
        <f aca="false">IF(M14="YES",G14*(1-Assumptions!$B$1-Assumptions!$B$2)/((1+Assumptions!$B$3)*(1+Assumptions!$B$5)),"")</f>
        <v/>
      </c>
    </row>
    <row r="15" customFormat="false" ht="15" hidden="false" customHeight="false" outlineLevel="0" collapsed="false">
      <c r="A15" s="0" t="s">
        <v>17</v>
      </c>
      <c r="B15" s="0" t="n">
        <v>12</v>
      </c>
      <c r="C15" s="0" t="s">
        <v>39</v>
      </c>
      <c r="D15" s="0" t="s">
        <v>19</v>
      </c>
      <c r="E15" s="0" t="s">
        <v>24</v>
      </c>
      <c r="F15" s="2" t="n">
        <v>684</v>
      </c>
      <c r="G15" s="2" t="n">
        <v>541</v>
      </c>
      <c r="H15" s="2" t="n">
        <v>916</v>
      </c>
      <c r="I15" s="2" t="n">
        <v>700</v>
      </c>
      <c r="J15" s="3" t="s">
        <v>25</v>
      </c>
      <c r="K15" s="0" t="n">
        <v>22</v>
      </c>
      <c r="L15" s="3" t="s">
        <v>22</v>
      </c>
      <c r="M15" s="3" t="s">
        <v>23</v>
      </c>
      <c r="N15" s="2" t="n">
        <v>700.84</v>
      </c>
      <c r="O15" s="4" t="n">
        <v>0.0246198830409356</v>
      </c>
      <c r="P15" s="2" t="n">
        <f aca="false">IF(M15="YES",G15*(1-Assumptions!$B$1-Assumptions!$B$2)/((1+Assumptions!$B$3)*(1+Assumptions!$B$4)),"")</f>
        <v>377.84126984127</v>
      </c>
      <c r="Q15" s="2" t="n">
        <f aca="false">IF(M15="YES",G15*(1-Assumptions!$B$1-Assumptions!$B$2)/((1+Assumptions!$B$3)*(1+Assumptions!$B$5)),"")</f>
        <v>317.386666666667</v>
      </c>
    </row>
    <row r="16" customFormat="false" ht="15" hidden="false" customHeight="false" outlineLevel="0" collapsed="false">
      <c r="A16" s="0" t="s">
        <v>17</v>
      </c>
      <c r="B16" s="0" t="n">
        <v>12</v>
      </c>
      <c r="C16" s="0" t="s">
        <v>39</v>
      </c>
      <c r="D16" s="0" t="s">
        <v>19</v>
      </c>
      <c r="E16" s="0" t="s">
        <v>26</v>
      </c>
      <c r="F16" s="2" t="n">
        <v>2191</v>
      </c>
      <c r="G16" s="2" t="n">
        <v>1613</v>
      </c>
      <c r="H16" s="2" t="n">
        <v>3003</v>
      </c>
      <c r="I16" s="2" t="n">
        <v>2750</v>
      </c>
      <c r="J16" s="3" t="s">
        <v>32</v>
      </c>
      <c r="K16" s="0" t="n">
        <v>20</v>
      </c>
      <c r="L16" s="3" t="s">
        <v>22</v>
      </c>
      <c r="M16" s="3" t="s">
        <v>23</v>
      </c>
      <c r="N16" s="2" t="n">
        <v>2175.44</v>
      </c>
      <c r="O16" s="4" t="n">
        <v>-0.0071017800091282</v>
      </c>
      <c r="P16" s="2" t="n">
        <f aca="false">IF(M16="YES",G16*(1-Assumptions!$B$1-Assumptions!$B$2)/((1+Assumptions!$B$3)*(1+Assumptions!$B$4)),"")</f>
        <v>1126.53968253968</v>
      </c>
      <c r="Q16" s="2" t="n">
        <f aca="false">IF(M16="YES",G16*(1-Assumptions!$B$1-Assumptions!$B$2)/((1+Assumptions!$B$3)*(1+Assumptions!$B$5)),"")</f>
        <v>946.293333333333</v>
      </c>
    </row>
    <row r="17" customFormat="false" ht="15" hidden="false" customHeight="false" outlineLevel="0" collapsed="false">
      <c r="A17" s="0" t="s">
        <v>17</v>
      </c>
      <c r="B17" s="0" t="n">
        <v>12</v>
      </c>
      <c r="C17" s="0" t="s">
        <v>39</v>
      </c>
      <c r="D17" s="0" t="s">
        <v>28</v>
      </c>
      <c r="E17" s="0" t="s">
        <v>20</v>
      </c>
      <c r="F17" s="2" t="n">
        <v>19040</v>
      </c>
      <c r="G17" s="2" t="n">
        <v>14422</v>
      </c>
      <c r="H17" s="2" t="n">
        <v>69265</v>
      </c>
      <c r="I17" s="2" t="n">
        <v>30000</v>
      </c>
      <c r="J17" s="3" t="s">
        <v>41</v>
      </c>
      <c r="K17" s="0" t="n">
        <v>2</v>
      </c>
      <c r="L17" s="3" t="s">
        <v>30</v>
      </c>
      <c r="M17" s="3" t="s">
        <v>31</v>
      </c>
      <c r="N17" s="2" t="n">
        <v>13396.24</v>
      </c>
      <c r="O17" s="4" t="n">
        <v>-0.296415966386555</v>
      </c>
      <c r="P17" s="2" t="str">
        <f aca="false">IF(M17="YES",G17*(1-Assumptions!$B$1-Assumptions!$B$2)/((1+Assumptions!$B$3)*(1+Assumptions!$B$4)),"")</f>
        <v/>
      </c>
      <c r="Q17" s="2" t="str">
        <f aca="false">IF(M17="YES",G17*(1-Assumptions!$B$1-Assumptions!$B$2)/((1+Assumptions!$B$3)*(1+Assumptions!$B$5)),"")</f>
        <v/>
      </c>
    </row>
    <row r="18" customFormat="false" ht="15" hidden="false" customHeight="false" outlineLevel="0" collapsed="false">
      <c r="A18" s="0" t="s">
        <v>17</v>
      </c>
      <c r="B18" s="0" t="n">
        <v>12</v>
      </c>
      <c r="C18" s="0" t="s">
        <v>39</v>
      </c>
      <c r="D18" s="0" t="s">
        <v>28</v>
      </c>
      <c r="E18" s="0" t="s">
        <v>24</v>
      </c>
      <c r="F18" s="2" t="n">
        <v>229</v>
      </c>
      <c r="G18" s="2" t="n">
        <v>182</v>
      </c>
      <c r="H18" s="2" t="n">
        <v>307</v>
      </c>
      <c r="I18" s="2" t="n">
        <v>225</v>
      </c>
      <c r="J18" s="3" t="s">
        <v>42</v>
      </c>
      <c r="K18" s="0" t="n">
        <v>21</v>
      </c>
      <c r="L18" s="3" t="s">
        <v>22</v>
      </c>
      <c r="M18" s="3" t="s">
        <v>23</v>
      </c>
      <c r="N18" s="2" t="n">
        <v>224.88</v>
      </c>
      <c r="O18" s="4" t="n">
        <v>-0.0179912663755458</v>
      </c>
      <c r="P18" s="2" t="n">
        <f aca="false">IF(M18="YES",G18*(1-Assumptions!$B$1-Assumptions!$B$2)/((1+Assumptions!$B$3)*(1+Assumptions!$B$4)),"")</f>
        <v>127.111111111111</v>
      </c>
      <c r="Q18" s="2" t="n">
        <f aca="false">IF(M18="YES",G18*(1-Assumptions!$B$1-Assumptions!$B$2)/((1+Assumptions!$B$3)*(1+Assumptions!$B$5)),"")</f>
        <v>106.773333333333</v>
      </c>
    </row>
    <row r="19" customFormat="false" ht="15" hidden="false" customHeight="false" outlineLevel="0" collapsed="false">
      <c r="A19" s="0" t="s">
        <v>17</v>
      </c>
      <c r="B19" s="0" t="n">
        <v>12</v>
      </c>
      <c r="C19" s="0" t="s">
        <v>39</v>
      </c>
      <c r="D19" s="0" t="s">
        <v>28</v>
      </c>
      <c r="E19" s="0" t="s">
        <v>26</v>
      </c>
      <c r="F19" s="2" t="n">
        <v>475</v>
      </c>
      <c r="G19" s="2" t="n">
        <v>350</v>
      </c>
      <c r="H19" s="2" t="n">
        <v>652</v>
      </c>
      <c r="I19" s="2" t="n">
        <v>385</v>
      </c>
      <c r="J19" s="3" t="s">
        <v>43</v>
      </c>
      <c r="K19" s="0" t="n">
        <v>23</v>
      </c>
      <c r="L19" s="3" t="s">
        <v>22</v>
      </c>
      <c r="M19" s="3" t="s">
        <v>23</v>
      </c>
      <c r="N19" s="2" t="n">
        <v>543.78</v>
      </c>
      <c r="O19" s="4" t="n">
        <v>0.1448</v>
      </c>
      <c r="P19" s="2" t="n">
        <f aca="false">IF(M19="YES",G19*(1-Assumptions!$B$1-Assumptions!$B$2)/((1+Assumptions!$B$3)*(1+Assumptions!$B$4)),"")</f>
        <v>244.444444444444</v>
      </c>
      <c r="Q19" s="2" t="n">
        <f aca="false">IF(M19="YES",G19*(1-Assumptions!$B$1-Assumptions!$B$2)/((1+Assumptions!$B$3)*(1+Assumptions!$B$5)),"")</f>
        <v>205.333333333333</v>
      </c>
    </row>
    <row r="20" customFormat="false" ht="15" hidden="false" customHeight="false" outlineLevel="0" collapsed="false">
      <c r="A20" s="0" t="s">
        <v>17</v>
      </c>
      <c r="B20" s="0" t="n">
        <v>13</v>
      </c>
      <c r="C20" s="0" t="s">
        <v>44</v>
      </c>
      <c r="D20" s="0" t="s">
        <v>19</v>
      </c>
      <c r="E20" s="0" t="s">
        <v>20</v>
      </c>
      <c r="F20" s="2" t="n">
        <v>4974</v>
      </c>
      <c r="G20" s="2" t="n">
        <v>3852</v>
      </c>
      <c r="H20" s="2" t="n">
        <v>8458</v>
      </c>
      <c r="I20" s="2" t="n">
        <v>5600</v>
      </c>
      <c r="J20" s="3" t="s">
        <v>45</v>
      </c>
      <c r="K20" s="0" t="n">
        <v>8</v>
      </c>
      <c r="L20" s="3" t="s">
        <v>22</v>
      </c>
      <c r="M20" s="3" t="s">
        <v>23</v>
      </c>
      <c r="N20" s="2" t="n">
        <v>8425.5</v>
      </c>
      <c r="O20" s="4" t="n">
        <v>0.693908323281061</v>
      </c>
      <c r="P20" s="2" t="n">
        <f aca="false">IF(M20="YES",G20*(1-Assumptions!$B$1-Assumptions!$B$2)/((1+Assumptions!$B$3)*(1+Assumptions!$B$4)),"")</f>
        <v>2690.28571428571</v>
      </c>
      <c r="Q20" s="2" t="n">
        <f aca="false">IF(M20="YES",G20*(1-Assumptions!$B$1-Assumptions!$B$2)/((1+Assumptions!$B$3)*(1+Assumptions!$B$5)),"")</f>
        <v>2259.84</v>
      </c>
    </row>
    <row r="21" customFormat="false" ht="15" hidden="false" customHeight="false" outlineLevel="0" collapsed="false">
      <c r="A21" s="0" t="s">
        <v>17</v>
      </c>
      <c r="B21" s="0" t="n">
        <v>13</v>
      </c>
      <c r="C21" s="0" t="s">
        <v>44</v>
      </c>
      <c r="D21" s="0" t="s">
        <v>19</v>
      </c>
      <c r="E21" s="0" t="s">
        <v>24</v>
      </c>
      <c r="F21" s="2" t="n">
        <v>142</v>
      </c>
      <c r="G21" s="2" t="n">
        <v>113</v>
      </c>
      <c r="H21" s="2" t="n">
        <v>190</v>
      </c>
      <c r="I21" s="2" t="n">
        <v>137</v>
      </c>
      <c r="J21" s="3" t="s">
        <v>46</v>
      </c>
      <c r="K21" s="0" t="n">
        <v>25</v>
      </c>
      <c r="L21" s="3" t="s">
        <v>22</v>
      </c>
      <c r="M21" s="3" t="s">
        <v>23</v>
      </c>
      <c r="N21" s="2" t="n">
        <v>138.82</v>
      </c>
      <c r="O21" s="4" t="n">
        <v>-0.0223943661971831</v>
      </c>
      <c r="P21" s="2" t="n">
        <f aca="false">IF(M21="YES",G21*(1-Assumptions!$B$1-Assumptions!$B$2)/((1+Assumptions!$B$3)*(1+Assumptions!$B$4)),"")</f>
        <v>78.9206349206349</v>
      </c>
      <c r="Q21" s="2" t="n">
        <f aca="false">IF(M21="YES",G21*(1-Assumptions!$B$1-Assumptions!$B$2)/((1+Assumptions!$B$3)*(1+Assumptions!$B$5)),"")</f>
        <v>66.2933333333333</v>
      </c>
    </row>
    <row r="22" customFormat="false" ht="15" hidden="false" customHeight="false" outlineLevel="0" collapsed="false">
      <c r="A22" s="0" t="s">
        <v>17</v>
      </c>
      <c r="B22" s="0" t="n">
        <v>13</v>
      </c>
      <c r="C22" s="0" t="s">
        <v>44</v>
      </c>
      <c r="D22" s="0" t="s">
        <v>19</v>
      </c>
      <c r="E22" s="0" t="s">
        <v>26</v>
      </c>
      <c r="F22" s="2" t="n">
        <v>351</v>
      </c>
      <c r="G22" s="2" t="n">
        <v>259</v>
      </c>
      <c r="H22" s="2" t="n">
        <v>482</v>
      </c>
      <c r="I22" s="2" t="n">
        <v>389</v>
      </c>
      <c r="J22" s="3" t="s">
        <v>42</v>
      </c>
      <c r="K22" s="0" t="n">
        <v>22</v>
      </c>
      <c r="L22" s="3" t="s">
        <v>22</v>
      </c>
      <c r="M22" s="3" t="s">
        <v>23</v>
      </c>
      <c r="N22" s="2" t="n">
        <v>329.43</v>
      </c>
      <c r="O22" s="4" t="n">
        <v>-0.0614529914529914</v>
      </c>
      <c r="P22" s="2" t="n">
        <f aca="false">IF(M22="YES",G22*(1-Assumptions!$B$1-Assumptions!$B$2)/((1+Assumptions!$B$3)*(1+Assumptions!$B$4)),"")</f>
        <v>180.888888888889</v>
      </c>
      <c r="Q22" s="2" t="n">
        <f aca="false">IF(M22="YES",G22*(1-Assumptions!$B$1-Assumptions!$B$2)/((1+Assumptions!$B$3)*(1+Assumptions!$B$5)),"")</f>
        <v>151.946666666667</v>
      </c>
    </row>
    <row r="23" customFormat="false" ht="15" hidden="false" customHeight="false" outlineLevel="0" collapsed="false">
      <c r="A23" s="0" t="s">
        <v>17</v>
      </c>
      <c r="B23" s="0" t="n">
        <v>13</v>
      </c>
      <c r="C23" s="0" t="s">
        <v>44</v>
      </c>
      <c r="D23" s="0" t="s">
        <v>28</v>
      </c>
      <c r="E23" s="0" t="s">
        <v>20</v>
      </c>
      <c r="F23" s="2" t="n">
        <v>1603</v>
      </c>
      <c r="G23" s="2" t="n">
        <v>1241</v>
      </c>
      <c r="H23" s="2" t="n">
        <v>2725</v>
      </c>
      <c r="I23" s="2" t="n">
        <v>1650</v>
      </c>
      <c r="J23" s="3" t="s">
        <v>47</v>
      </c>
      <c r="K23" s="0" t="n">
        <v>5</v>
      </c>
      <c r="L23" s="3" t="s">
        <v>22</v>
      </c>
      <c r="M23" s="3" t="s">
        <v>23</v>
      </c>
      <c r="N23" s="2" t="n">
        <v>2028.57</v>
      </c>
      <c r="O23" s="4" t="n">
        <v>0.265483468496569</v>
      </c>
      <c r="P23" s="2" t="n">
        <f aca="false">IF(M23="YES",G23*(1-Assumptions!$B$1-Assumptions!$B$2)/((1+Assumptions!$B$3)*(1+Assumptions!$B$4)),"")</f>
        <v>866.730158730159</v>
      </c>
      <c r="Q23" s="2" t="n">
        <f aca="false">IF(M23="YES",G23*(1-Assumptions!$B$1-Assumptions!$B$2)/((1+Assumptions!$B$3)*(1+Assumptions!$B$5)),"")</f>
        <v>728.053333333333</v>
      </c>
    </row>
    <row r="24" customFormat="false" ht="15" hidden="false" customHeight="false" outlineLevel="0" collapsed="false">
      <c r="A24" s="0" t="s">
        <v>17</v>
      </c>
      <c r="B24" s="0" t="n">
        <v>13</v>
      </c>
      <c r="C24" s="0" t="s">
        <v>44</v>
      </c>
      <c r="D24" s="0" t="s">
        <v>28</v>
      </c>
      <c r="E24" s="0" t="s">
        <v>24</v>
      </c>
      <c r="F24" s="2" t="n">
        <v>63</v>
      </c>
      <c r="G24" s="2" t="n">
        <v>50</v>
      </c>
      <c r="H24" s="2" t="n">
        <v>85</v>
      </c>
      <c r="I24" s="2" t="n">
        <v>50</v>
      </c>
      <c r="J24" s="3" t="s">
        <v>48</v>
      </c>
      <c r="K24" s="0" t="n">
        <v>17</v>
      </c>
      <c r="L24" s="3" t="s">
        <v>22</v>
      </c>
      <c r="M24" s="3" t="s">
        <v>23</v>
      </c>
      <c r="N24" s="2" t="n">
        <v>66.32</v>
      </c>
      <c r="O24" s="4" t="n">
        <v>0.0526984126984126</v>
      </c>
      <c r="P24" s="2" t="n">
        <f aca="false">IF(M24="YES",G24*(1-Assumptions!$B$1-Assumptions!$B$2)/((1+Assumptions!$B$3)*(1+Assumptions!$B$4)),"")</f>
        <v>34.9206349206349</v>
      </c>
      <c r="Q24" s="2" t="n">
        <f aca="false">IF(M24="YES",G24*(1-Assumptions!$B$1-Assumptions!$B$2)/((1+Assumptions!$B$3)*(1+Assumptions!$B$5)),"")</f>
        <v>29.3333333333333</v>
      </c>
    </row>
    <row r="25" customFormat="false" ht="15" hidden="false" customHeight="false" outlineLevel="0" collapsed="false">
      <c r="A25" s="0" t="s">
        <v>17</v>
      </c>
      <c r="B25" s="0" t="n">
        <v>13</v>
      </c>
      <c r="C25" s="0" t="s">
        <v>44</v>
      </c>
      <c r="D25" s="0" t="s">
        <v>28</v>
      </c>
      <c r="E25" s="0" t="s">
        <v>26</v>
      </c>
      <c r="F25" s="2" t="n">
        <v>137</v>
      </c>
      <c r="G25" s="2" t="n">
        <v>101</v>
      </c>
      <c r="H25" s="2" t="n">
        <v>188</v>
      </c>
      <c r="I25" s="2" t="n">
        <v>135</v>
      </c>
      <c r="J25" s="3" t="s">
        <v>49</v>
      </c>
      <c r="K25" s="0" t="n">
        <v>17</v>
      </c>
      <c r="L25" s="3" t="s">
        <v>22</v>
      </c>
      <c r="M25" s="3" t="s">
        <v>23</v>
      </c>
      <c r="N25" s="2" t="n">
        <v>216.03</v>
      </c>
      <c r="O25" s="4" t="n">
        <v>0.576861313868613</v>
      </c>
      <c r="P25" s="2" t="n">
        <f aca="false">IF(M25="YES",G25*(1-Assumptions!$B$1-Assumptions!$B$2)/((1+Assumptions!$B$3)*(1+Assumptions!$B$4)),"")</f>
        <v>70.5396825396825</v>
      </c>
      <c r="Q25" s="2" t="n">
        <f aca="false">IF(M25="YES",G25*(1-Assumptions!$B$1-Assumptions!$B$2)/((1+Assumptions!$B$3)*(1+Assumptions!$B$5)),"")</f>
        <v>59.2533333333333</v>
      </c>
    </row>
    <row r="26" customFormat="false" ht="15" hidden="false" customHeight="false" outlineLevel="0" collapsed="false">
      <c r="A26" s="0" t="s">
        <v>17</v>
      </c>
      <c r="B26" s="0" t="n">
        <v>14</v>
      </c>
      <c r="C26" s="0" t="s">
        <v>50</v>
      </c>
      <c r="D26" s="0" t="s">
        <v>19</v>
      </c>
      <c r="E26" s="0" t="s">
        <v>20</v>
      </c>
      <c r="F26" s="2" t="n">
        <v>18164</v>
      </c>
      <c r="G26" s="2" t="n">
        <v>13758</v>
      </c>
      <c r="H26" s="2" t="n">
        <v>66077</v>
      </c>
      <c r="I26" s="2" t="n">
        <v>12500</v>
      </c>
      <c r="J26" s="3" t="s">
        <v>51</v>
      </c>
      <c r="K26" s="0" t="n">
        <v>0</v>
      </c>
      <c r="L26" s="3" t="s">
        <v>30</v>
      </c>
      <c r="M26" s="3" t="s">
        <v>31</v>
      </c>
      <c r="N26" s="2" t="n">
        <v>11900</v>
      </c>
      <c r="O26" s="4" t="n">
        <v>-0.344857960801586</v>
      </c>
      <c r="P26" s="2" t="str">
        <f aca="false">IF(M26="YES",G26*(1-Assumptions!$B$1-Assumptions!$B$2)/((1+Assumptions!$B$3)*(1+Assumptions!$B$4)),"")</f>
        <v/>
      </c>
      <c r="Q26" s="2" t="str">
        <f aca="false">IF(M26="YES",G26*(1-Assumptions!$B$1-Assumptions!$B$2)/((1+Assumptions!$B$3)*(1+Assumptions!$B$5)),"")</f>
        <v/>
      </c>
    </row>
    <row r="27" customFormat="false" ht="15" hidden="false" customHeight="false" outlineLevel="0" collapsed="false">
      <c r="A27" s="0" t="s">
        <v>17</v>
      </c>
      <c r="B27" s="0" t="n">
        <v>14</v>
      </c>
      <c r="C27" s="0" t="s">
        <v>50</v>
      </c>
      <c r="D27" s="0" t="s">
        <v>19</v>
      </c>
      <c r="E27" s="0" t="s">
        <v>24</v>
      </c>
      <c r="F27" s="2" t="n">
        <v>548</v>
      </c>
      <c r="G27" s="2" t="n">
        <v>434</v>
      </c>
      <c r="H27" s="2" t="n">
        <v>734</v>
      </c>
      <c r="I27" s="2" t="n">
        <v>450</v>
      </c>
      <c r="J27" s="3" t="s">
        <v>35</v>
      </c>
      <c r="K27" s="0" t="n">
        <v>23</v>
      </c>
      <c r="L27" s="3" t="s">
        <v>22</v>
      </c>
      <c r="M27" s="3" t="s">
        <v>23</v>
      </c>
      <c r="N27" s="2" t="n">
        <v>528.42</v>
      </c>
      <c r="O27" s="4" t="n">
        <v>-0.0357299270072993</v>
      </c>
      <c r="P27" s="2" t="n">
        <f aca="false">IF(M27="YES",G27*(1-Assumptions!$B$1-Assumptions!$B$2)/((1+Assumptions!$B$3)*(1+Assumptions!$B$4)),"")</f>
        <v>303.111111111111</v>
      </c>
      <c r="Q27" s="2" t="n">
        <f aca="false">IF(M27="YES",G27*(1-Assumptions!$B$1-Assumptions!$B$2)/((1+Assumptions!$B$3)*(1+Assumptions!$B$5)),"")</f>
        <v>254.613333333333</v>
      </c>
    </row>
    <row r="28" customFormat="false" ht="15" hidden="false" customHeight="false" outlineLevel="0" collapsed="false">
      <c r="A28" s="0" t="s">
        <v>17</v>
      </c>
      <c r="B28" s="0" t="n">
        <v>14</v>
      </c>
      <c r="C28" s="0" t="s">
        <v>50</v>
      </c>
      <c r="D28" s="0" t="s">
        <v>19</v>
      </c>
      <c r="E28" s="0" t="s">
        <v>26</v>
      </c>
      <c r="F28" s="2" t="n">
        <v>1836</v>
      </c>
      <c r="G28" s="2" t="n">
        <v>1352</v>
      </c>
      <c r="H28" s="2" t="n">
        <v>2518</v>
      </c>
      <c r="I28" s="2" t="n">
        <v>2000</v>
      </c>
      <c r="J28" s="3" t="s">
        <v>38</v>
      </c>
      <c r="K28" s="0" t="n">
        <v>15</v>
      </c>
      <c r="L28" s="3" t="s">
        <v>22</v>
      </c>
      <c r="M28" s="3" t="s">
        <v>23</v>
      </c>
      <c r="N28" s="2" t="n">
        <v>1959.95</v>
      </c>
      <c r="O28" s="4" t="n">
        <v>0.0675108932461874</v>
      </c>
      <c r="P28" s="2" t="n">
        <f aca="false">IF(M28="YES",G28*(1-Assumptions!$B$1-Assumptions!$B$2)/((1+Assumptions!$B$3)*(1+Assumptions!$B$4)),"")</f>
        <v>944.253968253968</v>
      </c>
      <c r="Q28" s="2" t="n">
        <f aca="false">IF(M28="YES",G28*(1-Assumptions!$B$1-Assumptions!$B$2)/((1+Assumptions!$B$3)*(1+Assumptions!$B$5)),"")</f>
        <v>793.173333333333</v>
      </c>
    </row>
    <row r="29" customFormat="false" ht="15" hidden="false" customHeight="false" outlineLevel="0" collapsed="false">
      <c r="A29" s="0" t="s">
        <v>17</v>
      </c>
      <c r="B29" s="0" t="n">
        <v>14</v>
      </c>
      <c r="C29" s="0" t="s">
        <v>50</v>
      </c>
      <c r="D29" s="0" t="s">
        <v>28</v>
      </c>
      <c r="E29" s="0" t="s">
        <v>20</v>
      </c>
      <c r="F29" s="2" t="n">
        <v>4010</v>
      </c>
      <c r="G29" s="2" t="n">
        <v>3037</v>
      </c>
      <c r="H29" s="2" t="n">
        <v>14586</v>
      </c>
      <c r="I29" s="2" t="n">
        <v>6997</v>
      </c>
      <c r="J29" s="3" t="s">
        <v>52</v>
      </c>
      <c r="K29" s="0" t="n">
        <v>0</v>
      </c>
      <c r="L29" s="3" t="s">
        <v>30</v>
      </c>
      <c r="M29" s="3" t="s">
        <v>31</v>
      </c>
      <c r="N29" s="2" t="n">
        <v>6997</v>
      </c>
      <c r="O29" s="4" t="n">
        <v>0.744887780548629</v>
      </c>
      <c r="P29" s="2" t="str">
        <f aca="false">IF(M29="YES",G29*(1-Assumptions!$B$1-Assumptions!$B$2)/((1+Assumptions!$B$3)*(1+Assumptions!$B$4)),"")</f>
        <v/>
      </c>
      <c r="Q29" s="2" t="str">
        <f aca="false">IF(M29="YES",G29*(1-Assumptions!$B$1-Assumptions!$B$2)/((1+Assumptions!$B$3)*(1+Assumptions!$B$5)),"")</f>
        <v/>
      </c>
    </row>
    <row r="30" customFormat="false" ht="15" hidden="false" customHeight="false" outlineLevel="0" collapsed="false">
      <c r="A30" s="0" t="s">
        <v>17</v>
      </c>
      <c r="B30" s="0" t="n">
        <v>14</v>
      </c>
      <c r="C30" s="0" t="s">
        <v>50</v>
      </c>
      <c r="D30" s="0" t="s">
        <v>28</v>
      </c>
      <c r="E30" s="0" t="s">
        <v>24</v>
      </c>
      <c r="F30" s="2" t="n">
        <v>156</v>
      </c>
      <c r="G30" s="2" t="n">
        <v>124</v>
      </c>
      <c r="H30" s="2" t="n">
        <v>210</v>
      </c>
      <c r="I30" s="2" t="n">
        <v>250</v>
      </c>
      <c r="J30" s="3" t="s">
        <v>53</v>
      </c>
      <c r="K30" s="0" t="n">
        <v>22</v>
      </c>
      <c r="L30" s="3" t="s">
        <v>22</v>
      </c>
      <c r="M30" s="3" t="s">
        <v>23</v>
      </c>
      <c r="N30" s="2" t="n">
        <v>171.24</v>
      </c>
      <c r="O30" s="4" t="n">
        <v>0.0976923076923077</v>
      </c>
      <c r="P30" s="2" t="n">
        <f aca="false">IF(M30="YES",G30*(1-Assumptions!$B$1-Assumptions!$B$2)/((1+Assumptions!$B$3)*(1+Assumptions!$B$4)),"")</f>
        <v>86.6031746031746</v>
      </c>
      <c r="Q30" s="2" t="n">
        <f aca="false">IF(M30="YES",G30*(1-Assumptions!$B$1-Assumptions!$B$2)/((1+Assumptions!$B$3)*(1+Assumptions!$B$5)),"")</f>
        <v>72.7466666666667</v>
      </c>
    </row>
    <row r="31" customFormat="false" ht="15" hidden="false" customHeight="false" outlineLevel="0" collapsed="false">
      <c r="A31" s="0" t="s">
        <v>17</v>
      </c>
      <c r="B31" s="0" t="n">
        <v>14</v>
      </c>
      <c r="C31" s="0" t="s">
        <v>50</v>
      </c>
      <c r="D31" s="0" t="s">
        <v>28</v>
      </c>
      <c r="E31" s="0" t="s">
        <v>26</v>
      </c>
      <c r="F31" s="2" t="n">
        <v>442</v>
      </c>
      <c r="G31" s="2" t="n">
        <v>326</v>
      </c>
      <c r="H31" s="2" t="n">
        <v>607</v>
      </c>
      <c r="I31" s="2" t="n">
        <v>475</v>
      </c>
      <c r="J31" s="3" t="s">
        <v>41</v>
      </c>
      <c r="K31" s="0" t="n">
        <v>12</v>
      </c>
      <c r="L31" s="3" t="s">
        <v>22</v>
      </c>
      <c r="M31" s="3" t="s">
        <v>23</v>
      </c>
      <c r="N31" s="2" t="n">
        <v>520.1</v>
      </c>
      <c r="O31" s="4" t="n">
        <v>0.176696832579186</v>
      </c>
      <c r="P31" s="2" t="n">
        <f aca="false">IF(M31="YES",G31*(1-Assumptions!$B$1-Assumptions!$B$2)/((1+Assumptions!$B$3)*(1+Assumptions!$B$4)),"")</f>
        <v>227.68253968254</v>
      </c>
      <c r="Q31" s="2" t="n">
        <f aca="false">IF(M31="YES",G31*(1-Assumptions!$B$1-Assumptions!$B$2)/((1+Assumptions!$B$3)*(1+Assumptions!$B$5)),"")</f>
        <v>191.253333333333</v>
      </c>
    </row>
    <row r="32" customFormat="false" ht="15" hidden="false" customHeight="false" outlineLevel="0" collapsed="false">
      <c r="A32" s="0" t="s">
        <v>17</v>
      </c>
      <c r="B32" s="0" t="n">
        <v>15</v>
      </c>
      <c r="C32" s="0" t="s">
        <v>54</v>
      </c>
      <c r="D32" s="0" t="s">
        <v>19</v>
      </c>
      <c r="E32" s="0" t="s">
        <v>20</v>
      </c>
      <c r="F32" s="2" t="n">
        <v>2609</v>
      </c>
      <c r="G32" s="2" t="n">
        <v>2021</v>
      </c>
      <c r="H32" s="2" t="n">
        <v>4437</v>
      </c>
      <c r="I32" s="2" t="n">
        <v>2800</v>
      </c>
      <c r="J32" s="3" t="s">
        <v>55</v>
      </c>
      <c r="K32" s="0" t="n">
        <v>30</v>
      </c>
      <c r="L32" s="3" t="s">
        <v>22</v>
      </c>
      <c r="M32" s="3" t="s">
        <v>23</v>
      </c>
      <c r="N32" s="2" t="n">
        <v>5896.6</v>
      </c>
      <c r="O32" s="4" t="n">
        <v>1.26009965504025</v>
      </c>
      <c r="P32" s="2" t="n">
        <f aca="false">IF(M32="YES",G32*(1-Assumptions!$B$1-Assumptions!$B$2)/((1+Assumptions!$B$3)*(1+Assumptions!$B$4)),"")</f>
        <v>1411.49206349206</v>
      </c>
      <c r="Q32" s="2" t="n">
        <f aca="false">IF(M32="YES",G32*(1-Assumptions!$B$1-Assumptions!$B$2)/((1+Assumptions!$B$3)*(1+Assumptions!$B$5)),"")</f>
        <v>1185.65333333333</v>
      </c>
    </row>
    <row r="33" customFormat="false" ht="15" hidden="false" customHeight="false" outlineLevel="0" collapsed="false">
      <c r="A33" s="0" t="s">
        <v>17</v>
      </c>
      <c r="B33" s="0" t="n">
        <v>15</v>
      </c>
      <c r="C33" s="0" t="s">
        <v>54</v>
      </c>
      <c r="D33" s="0" t="s">
        <v>19</v>
      </c>
      <c r="E33" s="0" t="s">
        <v>24</v>
      </c>
      <c r="F33" s="2" t="n">
        <v>185</v>
      </c>
      <c r="G33" s="2" t="n">
        <v>146</v>
      </c>
      <c r="H33" s="2" t="n">
        <v>247</v>
      </c>
      <c r="I33" s="2" t="n">
        <v>199</v>
      </c>
      <c r="J33" s="3" t="s">
        <v>53</v>
      </c>
      <c r="K33" s="0" t="n">
        <v>23</v>
      </c>
      <c r="L33" s="3" t="s">
        <v>22</v>
      </c>
      <c r="M33" s="3" t="s">
        <v>23</v>
      </c>
      <c r="N33" s="2" t="n">
        <v>177.62</v>
      </c>
      <c r="O33" s="4" t="n">
        <v>-0.0398918918918919</v>
      </c>
      <c r="P33" s="2" t="n">
        <f aca="false">IF(M33="YES",G33*(1-Assumptions!$B$1-Assumptions!$B$2)/((1+Assumptions!$B$3)*(1+Assumptions!$B$4)),"")</f>
        <v>101.968253968254</v>
      </c>
      <c r="Q33" s="2" t="n">
        <f aca="false">IF(M33="YES",G33*(1-Assumptions!$B$1-Assumptions!$B$2)/((1+Assumptions!$B$3)*(1+Assumptions!$B$5)),"")</f>
        <v>85.6533333333333</v>
      </c>
    </row>
    <row r="34" customFormat="false" ht="15" hidden="false" customHeight="false" outlineLevel="0" collapsed="false">
      <c r="A34" s="0" t="s">
        <v>17</v>
      </c>
      <c r="B34" s="0" t="n">
        <v>15</v>
      </c>
      <c r="C34" s="0" t="s">
        <v>54</v>
      </c>
      <c r="D34" s="0" t="s">
        <v>19</v>
      </c>
      <c r="E34" s="0" t="s">
        <v>26</v>
      </c>
      <c r="F34" s="2" t="n">
        <v>329</v>
      </c>
      <c r="G34" s="2" t="n">
        <v>242</v>
      </c>
      <c r="H34" s="2" t="n">
        <v>451</v>
      </c>
      <c r="I34" s="2" t="n">
        <v>350</v>
      </c>
      <c r="J34" s="3" t="s">
        <v>35</v>
      </c>
      <c r="K34" s="0" t="n">
        <v>25</v>
      </c>
      <c r="L34" s="3" t="s">
        <v>22</v>
      </c>
      <c r="M34" s="3" t="s">
        <v>23</v>
      </c>
      <c r="N34" s="2" t="n">
        <v>387.36</v>
      </c>
      <c r="O34" s="4" t="n">
        <v>0.177386018237082</v>
      </c>
      <c r="P34" s="2" t="n">
        <f aca="false">IF(M34="YES",G34*(1-Assumptions!$B$1-Assumptions!$B$2)/((1+Assumptions!$B$3)*(1+Assumptions!$B$4)),"")</f>
        <v>169.015873015873</v>
      </c>
      <c r="Q34" s="2" t="n">
        <f aca="false">IF(M34="YES",G34*(1-Assumptions!$B$1-Assumptions!$B$2)/((1+Assumptions!$B$3)*(1+Assumptions!$B$5)),"")</f>
        <v>141.973333333333</v>
      </c>
    </row>
    <row r="35" customFormat="false" ht="15" hidden="false" customHeight="false" outlineLevel="0" collapsed="false">
      <c r="A35" s="0" t="s">
        <v>17</v>
      </c>
      <c r="B35" s="0" t="n">
        <v>15</v>
      </c>
      <c r="C35" s="0" t="s">
        <v>54</v>
      </c>
      <c r="D35" s="0" t="s">
        <v>28</v>
      </c>
      <c r="E35" s="0" t="s">
        <v>20</v>
      </c>
      <c r="F35" s="2" t="n">
        <v>1257</v>
      </c>
      <c r="G35" s="2" t="n">
        <v>973</v>
      </c>
      <c r="H35" s="2" t="n">
        <v>2137</v>
      </c>
      <c r="I35" s="2" t="n">
        <v>1500</v>
      </c>
      <c r="J35" s="3" t="s">
        <v>45</v>
      </c>
      <c r="K35" s="0" t="n">
        <v>9</v>
      </c>
      <c r="L35" s="3" t="s">
        <v>22</v>
      </c>
      <c r="M35" s="3" t="s">
        <v>23</v>
      </c>
      <c r="N35" s="2" t="n">
        <v>2097.86</v>
      </c>
      <c r="O35" s="4" t="n">
        <v>0.668941925218775</v>
      </c>
      <c r="P35" s="2" t="n">
        <f aca="false">IF(M35="YES",G35*(1-Assumptions!$B$1-Assumptions!$B$2)/((1+Assumptions!$B$3)*(1+Assumptions!$B$4)),"")</f>
        <v>679.555555555556</v>
      </c>
      <c r="Q35" s="2" t="n">
        <f aca="false">IF(M35="YES",G35*(1-Assumptions!$B$1-Assumptions!$B$2)/((1+Assumptions!$B$3)*(1+Assumptions!$B$5)),"")</f>
        <v>570.826666666667</v>
      </c>
    </row>
    <row r="36" customFormat="false" ht="15" hidden="false" customHeight="false" outlineLevel="0" collapsed="false">
      <c r="A36" s="0" t="s">
        <v>17</v>
      </c>
      <c r="B36" s="0" t="n">
        <v>15</v>
      </c>
      <c r="C36" s="0" t="s">
        <v>54</v>
      </c>
      <c r="D36" s="0" t="s">
        <v>28</v>
      </c>
      <c r="E36" s="0" t="s">
        <v>24</v>
      </c>
      <c r="F36" s="2" t="n">
        <v>84</v>
      </c>
      <c r="G36" s="2" t="n">
        <v>67</v>
      </c>
      <c r="H36" s="2" t="n">
        <v>113</v>
      </c>
      <c r="I36" s="2" t="n">
        <v>80</v>
      </c>
      <c r="J36" s="3" t="s">
        <v>49</v>
      </c>
      <c r="K36" s="0" t="n">
        <v>22</v>
      </c>
      <c r="L36" s="3" t="s">
        <v>22</v>
      </c>
      <c r="M36" s="3" t="s">
        <v>23</v>
      </c>
      <c r="N36" s="2" t="n">
        <v>76.75</v>
      </c>
      <c r="O36" s="4" t="n">
        <v>-0.0863095238095238</v>
      </c>
      <c r="P36" s="2" t="n">
        <f aca="false">IF(M36="YES",G36*(1-Assumptions!$B$1-Assumptions!$B$2)/((1+Assumptions!$B$3)*(1+Assumptions!$B$4)),"")</f>
        <v>46.7936507936508</v>
      </c>
      <c r="Q36" s="2" t="n">
        <f aca="false">IF(M36="YES",G36*(1-Assumptions!$B$1-Assumptions!$B$2)/((1+Assumptions!$B$3)*(1+Assumptions!$B$5)),"")</f>
        <v>39.3066666666667</v>
      </c>
    </row>
    <row r="37" customFormat="false" ht="15" hidden="false" customHeight="false" outlineLevel="0" collapsed="false">
      <c r="A37" s="0" t="s">
        <v>17</v>
      </c>
      <c r="B37" s="0" t="n">
        <v>15</v>
      </c>
      <c r="C37" s="0" t="s">
        <v>54</v>
      </c>
      <c r="D37" s="0" t="s">
        <v>28</v>
      </c>
      <c r="E37" s="0" t="s">
        <v>26</v>
      </c>
      <c r="F37" s="2" t="n">
        <v>131</v>
      </c>
      <c r="G37" s="2" t="n">
        <v>97</v>
      </c>
      <c r="H37" s="2" t="n">
        <v>180</v>
      </c>
      <c r="I37" s="2" t="n">
        <v>150</v>
      </c>
      <c r="J37" s="3" t="s">
        <v>37</v>
      </c>
      <c r="K37" s="0" t="n">
        <v>19</v>
      </c>
      <c r="L37" s="3" t="s">
        <v>22</v>
      </c>
      <c r="M37" s="3" t="s">
        <v>23</v>
      </c>
      <c r="N37" s="2" t="n">
        <v>143.93</v>
      </c>
      <c r="O37" s="4" t="n">
        <v>0.0987022900763359</v>
      </c>
      <c r="P37" s="2" t="n">
        <f aca="false">IF(M37="YES",G37*(1-Assumptions!$B$1-Assumptions!$B$2)/((1+Assumptions!$B$3)*(1+Assumptions!$B$4)),"")</f>
        <v>67.7460317460318</v>
      </c>
      <c r="Q37" s="2" t="n">
        <f aca="false">IF(M37="YES",G37*(1-Assumptions!$B$1-Assumptions!$B$2)/((1+Assumptions!$B$3)*(1+Assumptions!$B$5)),"")</f>
        <v>56.9066666666667</v>
      </c>
    </row>
    <row r="38" customFormat="false" ht="15" hidden="false" customHeight="false" outlineLevel="0" collapsed="false">
      <c r="A38" s="0" t="s">
        <v>17</v>
      </c>
      <c r="B38" s="0" t="n">
        <v>16</v>
      </c>
      <c r="C38" s="0" t="s">
        <v>56</v>
      </c>
      <c r="D38" s="0" t="s">
        <v>19</v>
      </c>
      <c r="E38" s="0" t="s">
        <v>20</v>
      </c>
      <c r="F38" s="2" t="n">
        <v>4048</v>
      </c>
      <c r="G38" s="2" t="n">
        <v>3135</v>
      </c>
      <c r="H38" s="2" t="n">
        <v>6884</v>
      </c>
      <c r="I38" s="2" t="n">
        <v>5000</v>
      </c>
      <c r="J38" s="3" t="s">
        <v>57</v>
      </c>
      <c r="K38" s="0" t="n">
        <v>23</v>
      </c>
      <c r="L38" s="3" t="s">
        <v>22</v>
      </c>
      <c r="M38" s="3" t="s">
        <v>23</v>
      </c>
      <c r="N38" s="2" t="n">
        <v>8180.73</v>
      </c>
      <c r="O38" s="4" t="n">
        <v>1.02093132411067</v>
      </c>
      <c r="P38" s="2" t="n">
        <f aca="false">IF(M38="YES",G38*(1-Assumptions!$B$1-Assumptions!$B$2)/((1+Assumptions!$B$3)*(1+Assumptions!$B$4)),"")</f>
        <v>2189.52380952381</v>
      </c>
      <c r="Q38" s="2" t="n">
        <f aca="false">IF(M38="YES",G38*(1-Assumptions!$B$1-Assumptions!$B$2)/((1+Assumptions!$B$3)*(1+Assumptions!$B$5)),"")</f>
        <v>1839.2</v>
      </c>
    </row>
    <row r="39" customFormat="false" ht="15" hidden="false" customHeight="false" outlineLevel="0" collapsed="false">
      <c r="A39" s="0" t="s">
        <v>17</v>
      </c>
      <c r="B39" s="0" t="n">
        <v>16</v>
      </c>
      <c r="C39" s="0" t="s">
        <v>56</v>
      </c>
      <c r="D39" s="0" t="s">
        <v>19</v>
      </c>
      <c r="E39" s="0" t="s">
        <v>24</v>
      </c>
      <c r="F39" s="2" t="n">
        <v>191</v>
      </c>
      <c r="G39" s="2" t="n">
        <v>151</v>
      </c>
      <c r="H39" s="2" t="n">
        <v>256</v>
      </c>
      <c r="I39" s="2" t="n">
        <v>194</v>
      </c>
      <c r="J39" s="3" t="s">
        <v>35</v>
      </c>
      <c r="K39" s="0" t="n">
        <v>26</v>
      </c>
      <c r="L39" s="3" t="s">
        <v>22</v>
      </c>
      <c r="M39" s="3" t="s">
        <v>23</v>
      </c>
      <c r="N39" s="2" t="n">
        <v>191.83</v>
      </c>
      <c r="O39" s="4" t="n">
        <v>0.0043455497382198</v>
      </c>
      <c r="P39" s="2" t="n">
        <f aca="false">IF(M39="YES",G39*(1-Assumptions!$B$1-Assumptions!$B$2)/((1+Assumptions!$B$3)*(1+Assumptions!$B$4)),"")</f>
        <v>105.460317460317</v>
      </c>
      <c r="Q39" s="2" t="n">
        <f aca="false">IF(M39="YES",G39*(1-Assumptions!$B$1-Assumptions!$B$2)/((1+Assumptions!$B$3)*(1+Assumptions!$B$5)),"")</f>
        <v>88.5866666666667</v>
      </c>
    </row>
    <row r="40" customFormat="false" ht="15" hidden="false" customHeight="false" outlineLevel="0" collapsed="false">
      <c r="A40" s="0" t="s">
        <v>17</v>
      </c>
      <c r="B40" s="0" t="n">
        <v>16</v>
      </c>
      <c r="C40" s="0" t="s">
        <v>56</v>
      </c>
      <c r="D40" s="0" t="s">
        <v>19</v>
      </c>
      <c r="E40" s="0" t="s">
        <v>26</v>
      </c>
      <c r="F40" s="2" t="n">
        <v>395</v>
      </c>
      <c r="G40" s="2" t="n">
        <v>291</v>
      </c>
      <c r="H40" s="2" t="n">
        <v>542</v>
      </c>
      <c r="I40" s="2" t="n">
        <v>450</v>
      </c>
      <c r="J40" s="3" t="s">
        <v>42</v>
      </c>
      <c r="K40" s="0" t="n">
        <v>23</v>
      </c>
      <c r="L40" s="3" t="s">
        <v>22</v>
      </c>
      <c r="M40" s="3" t="s">
        <v>23</v>
      </c>
      <c r="N40" s="2" t="n">
        <v>403.01</v>
      </c>
      <c r="O40" s="4" t="n">
        <v>0.0202784810126581</v>
      </c>
      <c r="P40" s="2" t="n">
        <f aca="false">IF(M40="YES",G40*(1-Assumptions!$B$1-Assumptions!$B$2)/((1+Assumptions!$B$3)*(1+Assumptions!$B$4)),"")</f>
        <v>203.238095238095</v>
      </c>
      <c r="Q40" s="2" t="n">
        <f aca="false">IF(M40="YES",G40*(1-Assumptions!$B$1-Assumptions!$B$2)/((1+Assumptions!$B$3)*(1+Assumptions!$B$5)),"")</f>
        <v>170.72</v>
      </c>
    </row>
    <row r="41" customFormat="false" ht="15" hidden="false" customHeight="false" outlineLevel="0" collapsed="false">
      <c r="A41" s="0" t="s">
        <v>17</v>
      </c>
      <c r="B41" s="0" t="n">
        <v>16</v>
      </c>
      <c r="C41" s="0" t="s">
        <v>56</v>
      </c>
      <c r="D41" s="0" t="s">
        <v>28</v>
      </c>
      <c r="E41" s="0" t="s">
        <v>20</v>
      </c>
      <c r="F41" s="2" t="n">
        <v>2433</v>
      </c>
      <c r="G41" s="2" t="n">
        <v>1884</v>
      </c>
      <c r="H41" s="2" t="n">
        <v>4137</v>
      </c>
      <c r="I41" s="2" t="n">
        <v>2700</v>
      </c>
      <c r="J41" s="3" t="s">
        <v>58</v>
      </c>
      <c r="K41" s="0" t="n">
        <v>6</v>
      </c>
      <c r="L41" s="3" t="s">
        <v>22</v>
      </c>
      <c r="M41" s="3" t="s">
        <v>23</v>
      </c>
      <c r="N41" s="2" t="n">
        <v>3761.65</v>
      </c>
      <c r="O41" s="4" t="n">
        <v>0.546095355528155</v>
      </c>
      <c r="P41" s="2" t="n">
        <f aca="false">IF(M41="YES",G41*(1-Assumptions!$B$1-Assumptions!$B$2)/((1+Assumptions!$B$3)*(1+Assumptions!$B$4)),"")</f>
        <v>1315.80952380952</v>
      </c>
      <c r="Q41" s="2" t="n">
        <f aca="false">IF(M41="YES",G41*(1-Assumptions!$B$1-Assumptions!$B$2)/((1+Assumptions!$B$3)*(1+Assumptions!$B$5)),"")</f>
        <v>1105.28</v>
      </c>
    </row>
    <row r="42" customFormat="false" ht="15" hidden="false" customHeight="false" outlineLevel="0" collapsed="false">
      <c r="A42" s="0" t="s">
        <v>17</v>
      </c>
      <c r="B42" s="0" t="n">
        <v>16</v>
      </c>
      <c r="C42" s="0" t="s">
        <v>56</v>
      </c>
      <c r="D42" s="0" t="s">
        <v>28</v>
      </c>
      <c r="E42" s="0" t="s">
        <v>24</v>
      </c>
      <c r="F42" s="2" t="n">
        <v>89</v>
      </c>
      <c r="G42" s="2" t="n">
        <v>70</v>
      </c>
      <c r="H42" s="2" t="n">
        <v>119</v>
      </c>
      <c r="I42" s="2" t="n">
        <v>86</v>
      </c>
      <c r="J42" s="3" t="s">
        <v>59</v>
      </c>
      <c r="K42" s="0" t="n">
        <v>16</v>
      </c>
      <c r="L42" s="3" t="s">
        <v>22</v>
      </c>
      <c r="M42" s="3" t="s">
        <v>23</v>
      </c>
      <c r="N42" s="2" t="n">
        <v>91.91</v>
      </c>
      <c r="O42" s="4" t="n">
        <v>0.0326966292134831</v>
      </c>
      <c r="P42" s="2" t="n">
        <f aca="false">IF(M42="YES",G42*(1-Assumptions!$B$1-Assumptions!$B$2)/((1+Assumptions!$B$3)*(1+Assumptions!$B$4)),"")</f>
        <v>48.8888888888889</v>
      </c>
      <c r="Q42" s="2" t="n">
        <f aca="false">IF(M42="YES",G42*(1-Assumptions!$B$1-Assumptions!$B$2)/((1+Assumptions!$B$3)*(1+Assumptions!$B$5)),"")</f>
        <v>41.0666666666667</v>
      </c>
    </row>
    <row r="43" customFormat="false" ht="15" hidden="false" customHeight="false" outlineLevel="0" collapsed="false">
      <c r="A43" s="0" t="s">
        <v>17</v>
      </c>
      <c r="B43" s="0" t="n">
        <v>16</v>
      </c>
      <c r="C43" s="0" t="s">
        <v>56</v>
      </c>
      <c r="D43" s="0" t="s">
        <v>28</v>
      </c>
      <c r="E43" s="0" t="s">
        <v>26</v>
      </c>
      <c r="F43" s="2" t="n">
        <v>182</v>
      </c>
      <c r="G43" s="2" t="n">
        <v>134</v>
      </c>
      <c r="H43" s="2" t="n">
        <v>250</v>
      </c>
      <c r="I43" s="2" t="n">
        <v>185</v>
      </c>
      <c r="J43" s="3" t="s">
        <v>60</v>
      </c>
      <c r="K43" s="0" t="n">
        <v>17</v>
      </c>
      <c r="L43" s="3" t="s">
        <v>22</v>
      </c>
      <c r="M43" s="3" t="s">
        <v>23</v>
      </c>
      <c r="N43" s="2" t="n">
        <v>185.19</v>
      </c>
      <c r="O43" s="4" t="n">
        <v>0.0175274725274725</v>
      </c>
      <c r="P43" s="2" t="n">
        <f aca="false">IF(M43="YES",G43*(1-Assumptions!$B$1-Assumptions!$B$2)/((1+Assumptions!$B$3)*(1+Assumptions!$B$4)),"")</f>
        <v>93.5873015873016</v>
      </c>
      <c r="Q43" s="2" t="n">
        <f aca="false">IF(M43="YES",G43*(1-Assumptions!$B$1-Assumptions!$B$2)/((1+Assumptions!$B$3)*(1+Assumptions!$B$5)),"")</f>
        <v>78.6133333333333</v>
      </c>
    </row>
    <row r="44" customFormat="false" ht="15" hidden="false" customHeight="false" outlineLevel="0" collapsed="false">
      <c r="A44" s="0" t="s">
        <v>17</v>
      </c>
      <c r="B44" s="0" t="n">
        <v>17</v>
      </c>
      <c r="C44" s="0" t="s">
        <v>61</v>
      </c>
      <c r="D44" s="0" t="s">
        <v>19</v>
      </c>
      <c r="E44" s="0" t="s">
        <v>24</v>
      </c>
      <c r="F44" s="2" t="n">
        <v>1992</v>
      </c>
      <c r="G44" s="2" t="n">
        <v>1577</v>
      </c>
      <c r="H44" s="2" t="n">
        <v>2669</v>
      </c>
      <c r="I44" s="2" t="n">
        <v>2277</v>
      </c>
      <c r="J44" s="3" t="s">
        <v>25</v>
      </c>
      <c r="K44" s="0" t="n">
        <v>18</v>
      </c>
      <c r="L44" s="3" t="s">
        <v>22</v>
      </c>
      <c r="M44" s="3" t="s">
        <v>23</v>
      </c>
      <c r="N44" s="2" t="n">
        <v>2300.75</v>
      </c>
      <c r="O44" s="4" t="n">
        <v>0.154994979919679</v>
      </c>
      <c r="P44" s="2" t="n">
        <f aca="false">IF(M44="YES",G44*(1-Assumptions!$B$1-Assumptions!$B$2)/((1+Assumptions!$B$3)*(1+Assumptions!$B$4)),"")</f>
        <v>1101.39682539683</v>
      </c>
      <c r="Q44" s="2" t="n">
        <f aca="false">IF(M44="YES",G44*(1-Assumptions!$B$1-Assumptions!$B$2)/((1+Assumptions!$B$3)*(1+Assumptions!$B$5)),"")</f>
        <v>925.173333333333</v>
      </c>
    </row>
    <row r="45" customFormat="false" ht="15" hidden="false" customHeight="false" outlineLevel="0" collapsed="false">
      <c r="A45" s="0" t="s">
        <v>17</v>
      </c>
      <c r="B45" s="0" t="n">
        <v>17</v>
      </c>
      <c r="C45" s="0" t="s">
        <v>61</v>
      </c>
      <c r="D45" s="0" t="s">
        <v>19</v>
      </c>
      <c r="E45" s="0" t="s">
        <v>26</v>
      </c>
      <c r="F45" s="2" t="n">
        <v>8569</v>
      </c>
      <c r="G45" s="2" t="n">
        <v>6311</v>
      </c>
      <c r="H45" s="2" t="n">
        <v>11749</v>
      </c>
      <c r="I45" s="2" t="n">
        <v>10000</v>
      </c>
      <c r="J45" s="3" t="s">
        <v>34</v>
      </c>
      <c r="K45" s="0" t="n">
        <v>9</v>
      </c>
      <c r="L45" s="3" t="s">
        <v>22</v>
      </c>
      <c r="M45" s="3" t="s">
        <v>23</v>
      </c>
      <c r="N45" s="2" t="n">
        <v>9337.01</v>
      </c>
      <c r="O45" s="4" t="n">
        <v>0.0896265608589099</v>
      </c>
      <c r="P45" s="2" t="n">
        <f aca="false">IF(M45="YES",G45*(1-Assumptions!$B$1-Assumptions!$B$2)/((1+Assumptions!$B$3)*(1+Assumptions!$B$4)),"")</f>
        <v>4407.68253968254</v>
      </c>
      <c r="Q45" s="2" t="n">
        <f aca="false">IF(M45="YES",G45*(1-Assumptions!$B$1-Assumptions!$B$2)/((1+Assumptions!$B$3)*(1+Assumptions!$B$5)),"")</f>
        <v>3702.45333333333</v>
      </c>
    </row>
    <row r="46" customFormat="false" ht="15" hidden="false" customHeight="false" outlineLevel="0" collapsed="false">
      <c r="A46" s="0" t="s">
        <v>17</v>
      </c>
      <c r="B46" s="0" t="n">
        <v>17</v>
      </c>
      <c r="C46" s="0" t="s">
        <v>61</v>
      </c>
      <c r="D46" s="0" t="s">
        <v>28</v>
      </c>
      <c r="E46" s="0" t="s">
        <v>24</v>
      </c>
      <c r="F46" s="2" t="n">
        <v>363</v>
      </c>
      <c r="G46" s="2" t="n">
        <v>288</v>
      </c>
      <c r="H46" s="2" t="n">
        <v>487</v>
      </c>
      <c r="I46" s="2" t="n">
        <v>500</v>
      </c>
      <c r="J46" s="3" t="s">
        <v>49</v>
      </c>
      <c r="K46" s="0" t="n">
        <v>17</v>
      </c>
      <c r="L46" s="3" t="s">
        <v>22</v>
      </c>
      <c r="M46" s="3" t="s">
        <v>23</v>
      </c>
      <c r="N46" s="2" t="n">
        <v>402.76</v>
      </c>
      <c r="O46" s="4" t="n">
        <v>0.109531680440771</v>
      </c>
      <c r="P46" s="2" t="n">
        <f aca="false">IF(M46="YES",G46*(1-Assumptions!$B$1-Assumptions!$B$2)/((1+Assumptions!$B$3)*(1+Assumptions!$B$4)),"")</f>
        <v>201.142857142857</v>
      </c>
      <c r="Q46" s="2" t="n">
        <f aca="false">IF(M46="YES",G46*(1-Assumptions!$B$1-Assumptions!$B$2)/((1+Assumptions!$B$3)*(1+Assumptions!$B$5)),"")</f>
        <v>168.96</v>
      </c>
    </row>
    <row r="47" customFormat="false" ht="15" hidden="false" customHeight="false" outlineLevel="0" collapsed="false">
      <c r="A47" s="0" t="s">
        <v>17</v>
      </c>
      <c r="B47" s="0" t="n">
        <v>17</v>
      </c>
      <c r="C47" s="0" t="s">
        <v>61</v>
      </c>
      <c r="D47" s="0" t="s">
        <v>28</v>
      </c>
      <c r="E47" s="0" t="s">
        <v>26</v>
      </c>
      <c r="F47" s="2" t="n">
        <v>914</v>
      </c>
      <c r="G47" s="2" t="n">
        <v>673</v>
      </c>
      <c r="H47" s="2" t="n">
        <v>1253</v>
      </c>
      <c r="I47" s="2" t="n">
        <v>870</v>
      </c>
      <c r="J47" s="3" t="s">
        <v>38</v>
      </c>
      <c r="K47" s="0" t="n">
        <v>11</v>
      </c>
      <c r="L47" s="3" t="s">
        <v>22</v>
      </c>
      <c r="M47" s="3" t="s">
        <v>23</v>
      </c>
      <c r="N47" s="2" t="n">
        <v>938.46</v>
      </c>
      <c r="O47" s="4" t="n">
        <v>0.0267614879649891</v>
      </c>
      <c r="P47" s="2" t="n">
        <f aca="false">IF(M47="YES",G47*(1-Assumptions!$B$1-Assumptions!$B$2)/((1+Assumptions!$B$3)*(1+Assumptions!$B$4)),"")</f>
        <v>470.031746031746</v>
      </c>
      <c r="Q47" s="2" t="n">
        <f aca="false">IF(M47="YES",G47*(1-Assumptions!$B$1-Assumptions!$B$2)/((1+Assumptions!$B$3)*(1+Assumptions!$B$5)),"")</f>
        <v>394.826666666667</v>
      </c>
    </row>
    <row r="48" customFormat="false" ht="15" hidden="false" customHeight="false" outlineLevel="0" collapsed="false">
      <c r="A48" s="0" t="s">
        <v>17</v>
      </c>
      <c r="B48" s="0" t="n">
        <v>18</v>
      </c>
      <c r="C48" s="0" t="s">
        <v>61</v>
      </c>
      <c r="D48" s="0" t="s">
        <v>19</v>
      </c>
      <c r="E48" s="0" t="s">
        <v>20</v>
      </c>
      <c r="F48" s="2" t="n">
        <v>8106</v>
      </c>
      <c r="G48" s="2" t="n">
        <v>6278</v>
      </c>
      <c r="H48" s="2" t="n">
        <v>13784</v>
      </c>
      <c r="I48" s="2" t="n">
        <v>10000</v>
      </c>
      <c r="J48" s="3" t="s">
        <v>53</v>
      </c>
      <c r="K48" s="0" t="n">
        <v>24</v>
      </c>
      <c r="L48" s="3" t="s">
        <v>22</v>
      </c>
      <c r="M48" s="3" t="s">
        <v>23</v>
      </c>
      <c r="N48" s="2" t="n">
        <v>7534.98</v>
      </c>
      <c r="O48" s="4" t="n">
        <v>-0.0704441154700222</v>
      </c>
      <c r="P48" s="2" t="n">
        <f aca="false">IF(M48="YES",G48*(1-Assumptions!$B$1-Assumptions!$B$2)/((1+Assumptions!$B$3)*(1+Assumptions!$B$4)),"")</f>
        <v>4384.63492063492</v>
      </c>
      <c r="Q48" s="2" t="n">
        <f aca="false">IF(M48="YES",G48*(1-Assumptions!$B$1-Assumptions!$B$2)/((1+Assumptions!$B$3)*(1+Assumptions!$B$5)),"")</f>
        <v>3683.09333333333</v>
      </c>
    </row>
    <row r="49" customFormat="false" ht="15" hidden="false" customHeight="false" outlineLevel="0" collapsed="false">
      <c r="A49" s="0" t="s">
        <v>17</v>
      </c>
      <c r="B49" s="0" t="n">
        <v>18</v>
      </c>
      <c r="C49" s="0" t="s">
        <v>61</v>
      </c>
      <c r="D49" s="0" t="s">
        <v>19</v>
      </c>
      <c r="E49" s="0" t="s">
        <v>24</v>
      </c>
      <c r="F49" s="2" t="n">
        <v>493</v>
      </c>
      <c r="G49" s="2" t="n">
        <v>390</v>
      </c>
      <c r="H49" s="2" t="n">
        <v>660</v>
      </c>
      <c r="I49" s="2" t="n">
        <v>481</v>
      </c>
      <c r="J49" s="3" t="s">
        <v>35</v>
      </c>
      <c r="K49" s="0" t="n">
        <v>27</v>
      </c>
      <c r="L49" s="3" t="s">
        <v>22</v>
      </c>
      <c r="M49" s="3" t="s">
        <v>23</v>
      </c>
      <c r="N49" s="2" t="n">
        <v>521.89</v>
      </c>
      <c r="O49" s="4" t="n">
        <v>0.058600405679513</v>
      </c>
      <c r="P49" s="2" t="n">
        <f aca="false">IF(M49="YES",G49*(1-Assumptions!$B$1-Assumptions!$B$2)/((1+Assumptions!$B$3)*(1+Assumptions!$B$4)),"")</f>
        <v>272.380952380952</v>
      </c>
      <c r="Q49" s="2" t="n">
        <f aca="false">IF(M49="YES",G49*(1-Assumptions!$B$1-Assumptions!$B$2)/((1+Assumptions!$B$3)*(1+Assumptions!$B$5)),"")</f>
        <v>228.8</v>
      </c>
    </row>
    <row r="50" customFormat="false" ht="15" hidden="false" customHeight="false" outlineLevel="0" collapsed="false">
      <c r="A50" s="0" t="s">
        <v>17</v>
      </c>
      <c r="B50" s="0" t="n">
        <v>18</v>
      </c>
      <c r="C50" s="0" t="s">
        <v>61</v>
      </c>
      <c r="D50" s="0" t="s">
        <v>19</v>
      </c>
      <c r="E50" s="0" t="s">
        <v>26</v>
      </c>
      <c r="F50" s="2" t="n">
        <v>1065</v>
      </c>
      <c r="G50" s="2" t="n">
        <v>785</v>
      </c>
      <c r="H50" s="2" t="n">
        <v>1461</v>
      </c>
      <c r="I50" s="2" t="n">
        <v>1410</v>
      </c>
      <c r="J50" s="3" t="s">
        <v>35</v>
      </c>
      <c r="K50" s="0" t="n">
        <v>23</v>
      </c>
      <c r="L50" s="3" t="s">
        <v>22</v>
      </c>
      <c r="M50" s="3" t="s">
        <v>23</v>
      </c>
      <c r="N50" s="2" t="n">
        <v>1161.86</v>
      </c>
      <c r="O50" s="4" t="n">
        <v>0.0909483568075115</v>
      </c>
      <c r="P50" s="2" t="n">
        <f aca="false">IF(M50="YES",G50*(1-Assumptions!$B$1-Assumptions!$B$2)/((1+Assumptions!$B$3)*(1+Assumptions!$B$4)),"")</f>
        <v>548.253968253968</v>
      </c>
      <c r="Q50" s="2" t="n">
        <f aca="false">IF(M50="YES",G50*(1-Assumptions!$B$1-Assumptions!$B$2)/((1+Assumptions!$B$3)*(1+Assumptions!$B$5)),"")</f>
        <v>460.533333333333</v>
      </c>
    </row>
    <row r="51" customFormat="false" ht="15" hidden="false" customHeight="false" outlineLevel="0" collapsed="false">
      <c r="A51" s="0" t="s">
        <v>17</v>
      </c>
      <c r="B51" s="0" t="n">
        <v>18</v>
      </c>
      <c r="C51" s="0" t="s">
        <v>61</v>
      </c>
      <c r="D51" s="0" t="s">
        <v>28</v>
      </c>
      <c r="E51" s="0" t="s">
        <v>20</v>
      </c>
      <c r="F51" s="2" t="n">
        <v>3442</v>
      </c>
      <c r="G51" s="2" t="n">
        <v>2666</v>
      </c>
      <c r="H51" s="2" t="n">
        <v>5853</v>
      </c>
      <c r="I51" s="2" t="n">
        <v>3521</v>
      </c>
      <c r="J51" s="3" t="s">
        <v>62</v>
      </c>
      <c r="K51" s="0" t="n">
        <v>6</v>
      </c>
      <c r="L51" s="3" t="s">
        <v>22</v>
      </c>
      <c r="M51" s="3" t="s">
        <v>23</v>
      </c>
      <c r="N51" s="2" t="n">
        <v>2965.36</v>
      </c>
      <c r="O51" s="4" t="n">
        <v>-0.138477629285299</v>
      </c>
      <c r="P51" s="2" t="n">
        <f aca="false">IF(M51="YES",G51*(1-Assumptions!$B$1-Assumptions!$B$2)/((1+Assumptions!$B$3)*(1+Assumptions!$B$4)),"")</f>
        <v>1861.96825396825</v>
      </c>
      <c r="Q51" s="2" t="n">
        <f aca="false">IF(M51="YES",G51*(1-Assumptions!$B$1-Assumptions!$B$2)/((1+Assumptions!$B$3)*(1+Assumptions!$B$5)),"")</f>
        <v>1564.05333333333</v>
      </c>
    </row>
    <row r="52" customFormat="false" ht="15" hidden="false" customHeight="false" outlineLevel="0" collapsed="false">
      <c r="A52" s="0" t="s">
        <v>17</v>
      </c>
      <c r="B52" s="0" t="n">
        <v>18</v>
      </c>
      <c r="C52" s="0" t="s">
        <v>61</v>
      </c>
      <c r="D52" s="0" t="s">
        <v>28</v>
      </c>
      <c r="E52" s="0" t="s">
        <v>24</v>
      </c>
      <c r="F52" s="2" t="n">
        <v>217</v>
      </c>
      <c r="G52" s="2" t="n">
        <v>172</v>
      </c>
      <c r="H52" s="2" t="n">
        <v>291</v>
      </c>
      <c r="I52" s="2" t="n">
        <v>235</v>
      </c>
      <c r="J52" s="3" t="s">
        <v>63</v>
      </c>
      <c r="K52" s="0" t="n">
        <v>23</v>
      </c>
      <c r="L52" s="3" t="s">
        <v>22</v>
      </c>
      <c r="M52" s="3" t="s">
        <v>23</v>
      </c>
      <c r="N52" s="2" t="n">
        <v>241.11</v>
      </c>
      <c r="O52" s="4" t="n">
        <v>0.11110599078341</v>
      </c>
      <c r="P52" s="2" t="n">
        <f aca="false">IF(M52="YES",G52*(1-Assumptions!$B$1-Assumptions!$B$2)/((1+Assumptions!$B$3)*(1+Assumptions!$B$4)),"")</f>
        <v>120.126984126984</v>
      </c>
      <c r="Q52" s="2" t="n">
        <f aca="false">IF(M52="YES",G52*(1-Assumptions!$B$1-Assumptions!$B$2)/((1+Assumptions!$B$3)*(1+Assumptions!$B$5)),"")</f>
        <v>100.906666666667</v>
      </c>
    </row>
    <row r="53" customFormat="false" ht="15" hidden="false" customHeight="false" outlineLevel="0" collapsed="false">
      <c r="A53" s="0" t="s">
        <v>17</v>
      </c>
      <c r="B53" s="0" t="n">
        <v>18</v>
      </c>
      <c r="C53" s="0" t="s">
        <v>61</v>
      </c>
      <c r="D53" s="0" t="s">
        <v>28</v>
      </c>
      <c r="E53" s="0" t="s">
        <v>26</v>
      </c>
      <c r="F53" s="2" t="n">
        <v>252</v>
      </c>
      <c r="G53" s="2" t="n">
        <v>186</v>
      </c>
      <c r="H53" s="2" t="n">
        <v>346</v>
      </c>
      <c r="I53" s="2" t="n">
        <v>220</v>
      </c>
      <c r="J53" s="3" t="s">
        <v>27</v>
      </c>
      <c r="K53" s="0" t="n">
        <v>25</v>
      </c>
      <c r="L53" s="3" t="s">
        <v>22</v>
      </c>
      <c r="M53" s="3" t="s">
        <v>23</v>
      </c>
      <c r="N53" s="2" t="n">
        <v>322.8</v>
      </c>
      <c r="O53" s="4" t="n">
        <v>0.280952380952381</v>
      </c>
      <c r="P53" s="2" t="n">
        <f aca="false">IF(M53="YES",G53*(1-Assumptions!$B$1-Assumptions!$B$2)/((1+Assumptions!$B$3)*(1+Assumptions!$B$4)),"")</f>
        <v>129.904761904762</v>
      </c>
      <c r="Q53" s="2" t="n">
        <f aca="false">IF(M53="YES",G53*(1-Assumptions!$B$1-Assumptions!$B$2)/((1+Assumptions!$B$3)*(1+Assumptions!$B$5)),"")</f>
        <v>109.12</v>
      </c>
    </row>
    <row r="54" customFormat="false" ht="15" hidden="false" customHeight="false" outlineLevel="0" collapsed="false">
      <c r="A54" s="0" t="s">
        <v>17</v>
      </c>
      <c r="B54" s="0" t="n">
        <v>19</v>
      </c>
      <c r="C54" s="0" t="s">
        <v>64</v>
      </c>
      <c r="D54" s="0" t="s">
        <v>19</v>
      </c>
      <c r="E54" s="0" t="s">
        <v>20</v>
      </c>
      <c r="F54" s="2" t="n">
        <v>3386</v>
      </c>
      <c r="G54" s="2" t="n">
        <v>2565</v>
      </c>
      <c r="H54" s="2" t="n">
        <v>12318</v>
      </c>
      <c r="I54" s="2" t="n">
        <v>4807</v>
      </c>
      <c r="J54" s="3" t="s">
        <v>65</v>
      </c>
      <c r="K54" s="0" t="n">
        <v>2</v>
      </c>
      <c r="L54" s="3" t="s">
        <v>30</v>
      </c>
      <c r="M54" s="3" t="s">
        <v>31</v>
      </c>
      <c r="N54" s="2" t="n">
        <v>4807</v>
      </c>
      <c r="O54" s="4" t="n">
        <v>0.419669226225635</v>
      </c>
      <c r="P54" s="2" t="str">
        <f aca="false">IF(M54="YES",G54*(1-Assumptions!$B$1-Assumptions!$B$2)/((1+Assumptions!$B$3)*(1+Assumptions!$B$4)),"")</f>
        <v/>
      </c>
      <c r="Q54" s="2" t="str">
        <f aca="false">IF(M54="YES",G54*(1-Assumptions!$B$1-Assumptions!$B$2)/((1+Assumptions!$B$3)*(1+Assumptions!$B$5)),"")</f>
        <v/>
      </c>
    </row>
    <row r="55" customFormat="false" ht="15" hidden="false" customHeight="false" outlineLevel="0" collapsed="false">
      <c r="A55" s="0" t="s">
        <v>17</v>
      </c>
      <c r="B55" s="0" t="n">
        <v>19</v>
      </c>
      <c r="C55" s="0" t="s">
        <v>64</v>
      </c>
      <c r="D55" s="0" t="s">
        <v>19</v>
      </c>
      <c r="E55" s="0" t="s">
        <v>24</v>
      </c>
      <c r="F55" s="2" t="n">
        <v>51</v>
      </c>
      <c r="G55" s="2" t="n">
        <v>40</v>
      </c>
      <c r="H55" s="2" t="n">
        <v>68</v>
      </c>
      <c r="I55" s="2" t="n">
        <v>35</v>
      </c>
      <c r="J55" s="3" t="s">
        <v>33</v>
      </c>
      <c r="K55" s="0" t="n">
        <v>23</v>
      </c>
      <c r="L55" s="3" t="s">
        <v>22</v>
      </c>
      <c r="M55" s="3" t="s">
        <v>23</v>
      </c>
      <c r="N55" s="2" t="n">
        <v>61.49</v>
      </c>
      <c r="O55" s="4" t="n">
        <v>0.205686274509804</v>
      </c>
      <c r="P55" s="2" t="n">
        <f aca="false">IF(M55="YES",G55*(1-Assumptions!$B$1-Assumptions!$B$2)/((1+Assumptions!$B$3)*(1+Assumptions!$B$4)),"")</f>
        <v>27.9365079365079</v>
      </c>
      <c r="Q55" s="2" t="n">
        <f aca="false">IF(M55="YES",G55*(1-Assumptions!$B$1-Assumptions!$B$2)/((1+Assumptions!$B$3)*(1+Assumptions!$B$5)),"")</f>
        <v>23.4666666666667</v>
      </c>
    </row>
    <row r="56" customFormat="false" ht="15" hidden="false" customHeight="false" outlineLevel="0" collapsed="false">
      <c r="A56" s="0" t="s">
        <v>17</v>
      </c>
      <c r="B56" s="0" t="n">
        <v>19</v>
      </c>
      <c r="C56" s="0" t="s">
        <v>64</v>
      </c>
      <c r="D56" s="0" t="s">
        <v>19</v>
      </c>
      <c r="E56" s="0" t="s">
        <v>26</v>
      </c>
      <c r="F56" s="2" t="n">
        <v>126</v>
      </c>
      <c r="G56" s="2" t="n">
        <v>93</v>
      </c>
      <c r="H56" s="2" t="n">
        <v>172</v>
      </c>
      <c r="I56" s="2" t="n">
        <v>100</v>
      </c>
      <c r="J56" s="3" t="s">
        <v>66</v>
      </c>
      <c r="K56" s="0" t="n">
        <v>12</v>
      </c>
      <c r="L56" s="3" t="s">
        <v>22</v>
      </c>
      <c r="M56" s="3" t="s">
        <v>23</v>
      </c>
      <c r="N56" s="2" t="n">
        <v>118.39</v>
      </c>
      <c r="O56" s="4" t="n">
        <v>-0.0603968253968253</v>
      </c>
      <c r="P56" s="2" t="n">
        <f aca="false">IF(M56="YES",G56*(1-Assumptions!$B$1-Assumptions!$B$2)/((1+Assumptions!$B$3)*(1+Assumptions!$B$4)),"")</f>
        <v>64.952380952381</v>
      </c>
      <c r="Q56" s="2" t="n">
        <f aca="false">IF(M56="YES",G56*(1-Assumptions!$B$1-Assumptions!$B$2)/((1+Assumptions!$B$3)*(1+Assumptions!$B$5)),"")</f>
        <v>54.56</v>
      </c>
    </row>
    <row r="57" customFormat="false" ht="15" hidden="false" customHeight="false" outlineLevel="0" collapsed="false">
      <c r="A57" s="0" t="s">
        <v>17</v>
      </c>
      <c r="B57" s="0" t="n">
        <v>19</v>
      </c>
      <c r="C57" s="0" t="s">
        <v>64</v>
      </c>
      <c r="D57" s="0" t="s">
        <v>28</v>
      </c>
      <c r="E57" s="0" t="s">
        <v>20</v>
      </c>
      <c r="F57" s="2" t="n">
        <v>596</v>
      </c>
      <c r="G57" s="2" t="n">
        <v>452</v>
      </c>
      <c r="H57" s="2" t="n">
        <v>2168</v>
      </c>
      <c r="I57" s="2" t="n">
        <v>346</v>
      </c>
      <c r="J57" s="3" t="s">
        <v>67</v>
      </c>
      <c r="K57" s="0" t="n">
        <v>0</v>
      </c>
      <c r="L57" s="3" t="s">
        <v>30</v>
      </c>
      <c r="M57" s="3" t="s">
        <v>31</v>
      </c>
      <c r="N57" s="2" t="n">
        <v>346</v>
      </c>
      <c r="O57" s="4" t="n">
        <v>-0.419463087248322</v>
      </c>
      <c r="P57" s="2" t="str">
        <f aca="false">IF(M57="YES",G57*(1-Assumptions!$B$1-Assumptions!$B$2)/((1+Assumptions!$B$3)*(1+Assumptions!$B$4)),"")</f>
        <v/>
      </c>
      <c r="Q57" s="2" t="str">
        <f aca="false">IF(M57="YES",G57*(1-Assumptions!$B$1-Assumptions!$B$2)/((1+Assumptions!$B$3)*(1+Assumptions!$B$5)),"")</f>
        <v/>
      </c>
    </row>
    <row r="58" customFormat="false" ht="15" hidden="false" customHeight="false" outlineLevel="0" collapsed="false">
      <c r="A58" s="0" t="s">
        <v>17</v>
      </c>
      <c r="B58" s="0" t="n">
        <v>19</v>
      </c>
      <c r="C58" s="0" t="s">
        <v>64</v>
      </c>
      <c r="D58" s="0" t="s">
        <v>28</v>
      </c>
      <c r="E58" s="0" t="s">
        <v>24</v>
      </c>
      <c r="F58" s="2" t="n">
        <v>33</v>
      </c>
      <c r="G58" s="2" t="n">
        <v>26</v>
      </c>
      <c r="H58" s="2" t="n">
        <v>45</v>
      </c>
      <c r="I58" s="2" t="n">
        <v>35</v>
      </c>
      <c r="J58" s="3" t="s">
        <v>68</v>
      </c>
      <c r="K58" s="0" t="n">
        <v>12</v>
      </c>
      <c r="L58" s="3" t="s">
        <v>22</v>
      </c>
      <c r="M58" s="3" t="s">
        <v>23</v>
      </c>
      <c r="N58" s="2" t="n">
        <v>55.35</v>
      </c>
      <c r="O58" s="4" t="n">
        <v>0.677272727272727</v>
      </c>
      <c r="P58" s="2" t="n">
        <f aca="false">IF(M58="YES",G58*(1-Assumptions!$B$1-Assumptions!$B$2)/((1+Assumptions!$B$3)*(1+Assumptions!$B$4)),"")</f>
        <v>18.1587301587302</v>
      </c>
      <c r="Q58" s="2" t="n">
        <f aca="false">IF(M58="YES",G58*(1-Assumptions!$B$1-Assumptions!$B$2)/((1+Assumptions!$B$3)*(1+Assumptions!$B$5)),"")</f>
        <v>15.2533333333333</v>
      </c>
    </row>
    <row r="59" customFormat="false" ht="15" hidden="false" customHeight="false" outlineLevel="0" collapsed="false">
      <c r="A59" s="0" t="s">
        <v>17</v>
      </c>
      <c r="B59" s="0" t="n">
        <v>19</v>
      </c>
      <c r="C59" s="0" t="s">
        <v>64</v>
      </c>
      <c r="D59" s="0" t="s">
        <v>28</v>
      </c>
      <c r="E59" s="0" t="s">
        <v>26</v>
      </c>
      <c r="F59" s="2" t="n">
        <v>51</v>
      </c>
      <c r="G59" s="2" t="n">
        <v>38</v>
      </c>
      <c r="H59" s="2" t="n">
        <v>70</v>
      </c>
      <c r="I59" s="2" t="n">
        <v>30</v>
      </c>
      <c r="J59" s="3" t="s">
        <v>69</v>
      </c>
      <c r="K59" s="0" t="n">
        <v>5</v>
      </c>
      <c r="L59" s="3" t="s">
        <v>22</v>
      </c>
      <c r="M59" s="3" t="s">
        <v>23</v>
      </c>
      <c r="N59" s="2" t="n">
        <v>100</v>
      </c>
      <c r="O59" s="4" t="n">
        <v>0.96078431372549</v>
      </c>
      <c r="P59" s="2" t="n">
        <f aca="false">IF(M59="YES",G59*(1-Assumptions!$B$1-Assumptions!$B$2)/((1+Assumptions!$B$3)*(1+Assumptions!$B$4)),"")</f>
        <v>26.5396825396825</v>
      </c>
      <c r="Q59" s="2" t="n">
        <f aca="false">IF(M59="YES",G59*(1-Assumptions!$B$1-Assumptions!$B$2)/((1+Assumptions!$B$3)*(1+Assumptions!$B$5)),"")</f>
        <v>22.2933333333333</v>
      </c>
    </row>
    <row r="60" customFormat="false" ht="15" hidden="false" customHeight="false" outlineLevel="0" collapsed="false">
      <c r="A60" s="0" t="s">
        <v>17</v>
      </c>
      <c r="B60" s="0" t="n">
        <v>1</v>
      </c>
      <c r="C60" s="0" t="s">
        <v>70</v>
      </c>
      <c r="D60" s="0" t="s">
        <v>19</v>
      </c>
      <c r="E60" s="0" t="s">
        <v>20</v>
      </c>
      <c r="F60" s="2" t="n">
        <v>2747</v>
      </c>
      <c r="G60" s="2" t="n">
        <v>2127</v>
      </c>
      <c r="H60" s="2" t="n">
        <v>4671</v>
      </c>
      <c r="I60" s="2" t="n">
        <v>2775</v>
      </c>
      <c r="J60" s="3" t="s">
        <v>71</v>
      </c>
      <c r="K60" s="0" t="n">
        <v>29</v>
      </c>
      <c r="L60" s="3" t="s">
        <v>22</v>
      </c>
      <c r="M60" s="3" t="s">
        <v>23</v>
      </c>
      <c r="N60" s="2" t="n">
        <v>5691.15</v>
      </c>
      <c r="O60" s="4" t="n">
        <v>1.07176920276665</v>
      </c>
      <c r="P60" s="2" t="n">
        <f aca="false">IF(M60="YES",G60*(1-Assumptions!$B$1-Assumptions!$B$2)/((1+Assumptions!$B$3)*(1+Assumptions!$B$4)),"")</f>
        <v>1485.52380952381</v>
      </c>
      <c r="Q60" s="2" t="n">
        <f aca="false">IF(M60="YES",G60*(1-Assumptions!$B$1-Assumptions!$B$2)/((1+Assumptions!$B$3)*(1+Assumptions!$B$5)),"")</f>
        <v>1247.84</v>
      </c>
    </row>
    <row r="61" customFormat="false" ht="15" hidden="false" customHeight="false" outlineLevel="0" collapsed="false">
      <c r="A61" s="0" t="s">
        <v>17</v>
      </c>
      <c r="B61" s="0" t="n">
        <v>1</v>
      </c>
      <c r="C61" s="0" t="s">
        <v>70</v>
      </c>
      <c r="D61" s="0" t="s">
        <v>19</v>
      </c>
      <c r="E61" s="0" t="s">
        <v>24</v>
      </c>
      <c r="F61" s="2" t="n">
        <v>171</v>
      </c>
      <c r="G61" s="2" t="n">
        <v>136</v>
      </c>
      <c r="H61" s="2" t="n">
        <v>230</v>
      </c>
      <c r="I61" s="2" t="n">
        <v>190</v>
      </c>
      <c r="J61" s="3" t="s">
        <v>72</v>
      </c>
      <c r="K61" s="0" t="n">
        <v>22</v>
      </c>
      <c r="L61" s="3" t="s">
        <v>22</v>
      </c>
      <c r="M61" s="3" t="s">
        <v>23</v>
      </c>
      <c r="N61" s="2" t="n">
        <v>184.28</v>
      </c>
      <c r="O61" s="4" t="n">
        <v>0.0776608187134502</v>
      </c>
      <c r="P61" s="2" t="n">
        <f aca="false">IF(M61="YES",G61*(1-Assumptions!$B$1-Assumptions!$B$2)/((1+Assumptions!$B$3)*(1+Assumptions!$B$4)),"")</f>
        <v>94.984126984127</v>
      </c>
      <c r="Q61" s="2" t="n">
        <f aca="false">IF(M61="YES",G61*(1-Assumptions!$B$1-Assumptions!$B$2)/((1+Assumptions!$B$3)*(1+Assumptions!$B$5)),"")</f>
        <v>79.7866666666667</v>
      </c>
    </row>
    <row r="62" customFormat="false" ht="15" hidden="false" customHeight="false" outlineLevel="0" collapsed="false">
      <c r="A62" s="0" t="s">
        <v>17</v>
      </c>
      <c r="B62" s="0" t="n">
        <v>1</v>
      </c>
      <c r="C62" s="0" t="s">
        <v>70</v>
      </c>
      <c r="D62" s="0" t="s">
        <v>19</v>
      </c>
      <c r="E62" s="0" t="s">
        <v>26</v>
      </c>
      <c r="F62" s="2" t="n">
        <v>370</v>
      </c>
      <c r="G62" s="2" t="n">
        <v>272</v>
      </c>
      <c r="H62" s="2" t="n">
        <v>507</v>
      </c>
      <c r="I62" s="2" t="n">
        <v>400</v>
      </c>
      <c r="J62" s="3" t="s">
        <v>25</v>
      </c>
      <c r="K62" s="0" t="n">
        <v>24</v>
      </c>
      <c r="L62" s="3" t="s">
        <v>22</v>
      </c>
      <c r="M62" s="3" t="s">
        <v>23</v>
      </c>
      <c r="N62" s="2" t="n">
        <v>370.94</v>
      </c>
      <c r="O62" s="4" t="n">
        <v>0.0025405405405405</v>
      </c>
      <c r="P62" s="2" t="n">
        <f aca="false">IF(M62="YES",G62*(1-Assumptions!$B$1-Assumptions!$B$2)/((1+Assumptions!$B$3)*(1+Assumptions!$B$4)),"")</f>
        <v>189.968253968254</v>
      </c>
      <c r="Q62" s="2" t="n">
        <f aca="false">IF(M62="YES",G62*(1-Assumptions!$B$1-Assumptions!$B$2)/((1+Assumptions!$B$3)*(1+Assumptions!$B$5)),"")</f>
        <v>159.573333333333</v>
      </c>
    </row>
    <row r="63" customFormat="false" ht="15" hidden="false" customHeight="false" outlineLevel="0" collapsed="false">
      <c r="A63" s="0" t="s">
        <v>17</v>
      </c>
      <c r="B63" s="0" t="n">
        <v>1</v>
      </c>
      <c r="C63" s="0" t="s">
        <v>70</v>
      </c>
      <c r="D63" s="0" t="s">
        <v>28</v>
      </c>
      <c r="E63" s="0" t="s">
        <v>20</v>
      </c>
      <c r="F63" s="2" t="n">
        <v>1026</v>
      </c>
      <c r="G63" s="2" t="n">
        <v>794</v>
      </c>
      <c r="H63" s="2" t="n">
        <v>1744</v>
      </c>
      <c r="I63" s="2" t="n">
        <v>910</v>
      </c>
      <c r="J63" s="3" t="s">
        <v>73</v>
      </c>
      <c r="K63" s="0" t="n">
        <v>7</v>
      </c>
      <c r="L63" s="3" t="s">
        <v>22</v>
      </c>
      <c r="M63" s="3" t="s">
        <v>23</v>
      </c>
      <c r="N63" s="2" t="n">
        <v>1992.95</v>
      </c>
      <c r="O63" s="4" t="n">
        <v>0.942446393762183</v>
      </c>
      <c r="P63" s="2" t="n">
        <f aca="false">IF(M63="YES",G63*(1-Assumptions!$B$1-Assumptions!$B$2)/((1+Assumptions!$B$3)*(1+Assumptions!$B$4)),"")</f>
        <v>554.539682539683</v>
      </c>
      <c r="Q63" s="2" t="n">
        <f aca="false">IF(M63="YES",G63*(1-Assumptions!$B$1-Assumptions!$B$2)/((1+Assumptions!$B$3)*(1+Assumptions!$B$5)),"")</f>
        <v>465.813333333333</v>
      </c>
    </row>
    <row r="64" customFormat="false" ht="15" hidden="false" customHeight="false" outlineLevel="0" collapsed="false">
      <c r="A64" s="0" t="s">
        <v>17</v>
      </c>
      <c r="B64" s="0" t="n">
        <v>1</v>
      </c>
      <c r="C64" s="0" t="s">
        <v>70</v>
      </c>
      <c r="D64" s="0" t="s">
        <v>28</v>
      </c>
      <c r="E64" s="0" t="s">
        <v>24</v>
      </c>
      <c r="F64" s="2" t="n">
        <v>82</v>
      </c>
      <c r="G64" s="2" t="n">
        <v>65</v>
      </c>
      <c r="H64" s="2" t="n">
        <v>110</v>
      </c>
      <c r="I64" s="2" t="n">
        <v>85</v>
      </c>
      <c r="J64" s="3" t="s">
        <v>46</v>
      </c>
      <c r="K64" s="0" t="n">
        <v>20</v>
      </c>
      <c r="L64" s="3" t="s">
        <v>22</v>
      </c>
      <c r="M64" s="3" t="s">
        <v>23</v>
      </c>
      <c r="N64" s="2" t="n">
        <v>83.5</v>
      </c>
      <c r="O64" s="4" t="n">
        <v>0.0182926829268292</v>
      </c>
      <c r="P64" s="2" t="n">
        <f aca="false">IF(M64="YES",G64*(1-Assumptions!$B$1-Assumptions!$B$2)/((1+Assumptions!$B$3)*(1+Assumptions!$B$4)),"")</f>
        <v>45.3968253968254</v>
      </c>
      <c r="Q64" s="2" t="n">
        <f aca="false">IF(M64="YES",G64*(1-Assumptions!$B$1-Assumptions!$B$2)/((1+Assumptions!$B$3)*(1+Assumptions!$B$5)),"")</f>
        <v>38.1333333333333</v>
      </c>
    </row>
    <row r="65" customFormat="false" ht="15" hidden="false" customHeight="false" outlineLevel="0" collapsed="false">
      <c r="A65" s="0" t="s">
        <v>17</v>
      </c>
      <c r="B65" s="0" t="n">
        <v>1</v>
      </c>
      <c r="C65" s="0" t="s">
        <v>70</v>
      </c>
      <c r="D65" s="0" t="s">
        <v>28</v>
      </c>
      <c r="E65" s="0" t="s">
        <v>26</v>
      </c>
      <c r="F65" s="2" t="n">
        <v>119</v>
      </c>
      <c r="G65" s="2" t="n">
        <v>88</v>
      </c>
      <c r="H65" s="2" t="n">
        <v>163</v>
      </c>
      <c r="I65" s="2" t="n">
        <v>119</v>
      </c>
      <c r="J65" s="3" t="s">
        <v>32</v>
      </c>
      <c r="K65" s="0" t="n">
        <v>17</v>
      </c>
      <c r="L65" s="3" t="s">
        <v>22</v>
      </c>
      <c r="M65" s="3" t="s">
        <v>23</v>
      </c>
      <c r="N65" s="2" t="n">
        <v>132.88</v>
      </c>
      <c r="O65" s="4" t="n">
        <v>0.116638655462185</v>
      </c>
      <c r="P65" s="2" t="n">
        <f aca="false">IF(M65="YES",G65*(1-Assumptions!$B$1-Assumptions!$B$2)/((1+Assumptions!$B$3)*(1+Assumptions!$B$4)),"")</f>
        <v>61.4603174603175</v>
      </c>
      <c r="Q65" s="2" t="n">
        <f aca="false">IF(M65="YES",G65*(1-Assumptions!$B$1-Assumptions!$B$2)/((1+Assumptions!$B$3)*(1+Assumptions!$B$5)),"")</f>
        <v>51.6266666666667</v>
      </c>
    </row>
    <row r="66" customFormat="false" ht="15" hidden="false" customHeight="false" outlineLevel="0" collapsed="false">
      <c r="A66" s="0" t="s">
        <v>17</v>
      </c>
      <c r="B66" s="0" t="n">
        <v>2</v>
      </c>
      <c r="C66" s="0" t="s">
        <v>74</v>
      </c>
      <c r="D66" s="0" t="s">
        <v>19</v>
      </c>
      <c r="E66" s="0" t="s">
        <v>20</v>
      </c>
      <c r="F66" s="2" t="n">
        <v>15911</v>
      </c>
      <c r="G66" s="2" t="n">
        <v>12322</v>
      </c>
      <c r="H66" s="2" t="n">
        <v>27057</v>
      </c>
      <c r="I66" s="2" t="n">
        <v>24000</v>
      </c>
      <c r="J66" s="3" t="s">
        <v>41</v>
      </c>
      <c r="K66" s="0" t="n">
        <v>3</v>
      </c>
      <c r="L66" s="3" t="s">
        <v>22</v>
      </c>
      <c r="M66" s="3" t="s">
        <v>23</v>
      </c>
      <c r="N66" s="2" t="n">
        <v>22189.12</v>
      </c>
      <c r="O66" s="4" t="n">
        <v>0.394577336433914</v>
      </c>
      <c r="P66" s="2" t="n">
        <f aca="false">IF(M66="YES",G66*(1-Assumptions!$B$1-Assumptions!$B$2)/((1+Assumptions!$B$3)*(1+Assumptions!$B$4)),"")</f>
        <v>8605.84126984127</v>
      </c>
      <c r="Q66" s="2" t="n">
        <f aca="false">IF(M66="YES",G66*(1-Assumptions!$B$1-Assumptions!$B$2)/((1+Assumptions!$B$3)*(1+Assumptions!$B$5)),"")</f>
        <v>7228.90666666667</v>
      </c>
    </row>
    <row r="67" customFormat="false" ht="15" hidden="false" customHeight="false" outlineLevel="0" collapsed="false">
      <c r="A67" s="0" t="s">
        <v>17</v>
      </c>
      <c r="B67" s="0" t="n">
        <v>2</v>
      </c>
      <c r="C67" s="0" t="s">
        <v>74</v>
      </c>
      <c r="D67" s="0" t="s">
        <v>19</v>
      </c>
      <c r="E67" s="0" t="s">
        <v>24</v>
      </c>
      <c r="F67" s="2" t="n">
        <v>204</v>
      </c>
      <c r="G67" s="2" t="n">
        <v>161</v>
      </c>
      <c r="H67" s="2" t="n">
        <v>273</v>
      </c>
      <c r="I67" s="2" t="n">
        <v>175</v>
      </c>
      <c r="J67" s="3" t="s">
        <v>35</v>
      </c>
      <c r="K67" s="0" t="n">
        <v>24</v>
      </c>
      <c r="L67" s="3" t="s">
        <v>22</v>
      </c>
      <c r="M67" s="3" t="s">
        <v>23</v>
      </c>
      <c r="N67" s="2" t="n">
        <v>269.39</v>
      </c>
      <c r="O67" s="4" t="n">
        <v>0.320539215686275</v>
      </c>
      <c r="P67" s="2" t="n">
        <f aca="false">IF(M67="YES",G67*(1-Assumptions!$B$1-Assumptions!$B$2)/((1+Assumptions!$B$3)*(1+Assumptions!$B$4)),"")</f>
        <v>112.444444444444</v>
      </c>
      <c r="Q67" s="2" t="n">
        <f aca="false">IF(M67="YES",G67*(1-Assumptions!$B$1-Assumptions!$B$2)/((1+Assumptions!$B$3)*(1+Assumptions!$B$5)),"")</f>
        <v>94.4533333333333</v>
      </c>
    </row>
    <row r="68" customFormat="false" ht="15" hidden="false" customHeight="false" outlineLevel="0" collapsed="false">
      <c r="A68" s="0" t="s">
        <v>17</v>
      </c>
      <c r="B68" s="0" t="n">
        <v>2</v>
      </c>
      <c r="C68" s="0" t="s">
        <v>74</v>
      </c>
      <c r="D68" s="0" t="s">
        <v>19</v>
      </c>
      <c r="E68" s="0" t="s">
        <v>26</v>
      </c>
      <c r="F68" s="2" t="n">
        <v>533</v>
      </c>
      <c r="G68" s="2" t="n">
        <v>393</v>
      </c>
      <c r="H68" s="2" t="n">
        <v>731</v>
      </c>
      <c r="I68" s="2" t="n">
        <v>545</v>
      </c>
      <c r="J68" s="3" t="s">
        <v>25</v>
      </c>
      <c r="K68" s="0" t="n">
        <v>22</v>
      </c>
      <c r="L68" s="3" t="s">
        <v>22</v>
      </c>
      <c r="M68" s="3" t="s">
        <v>23</v>
      </c>
      <c r="N68" s="2" t="n">
        <v>475.63</v>
      </c>
      <c r="O68" s="4" t="n">
        <v>-0.107636022514071</v>
      </c>
      <c r="P68" s="2" t="n">
        <f aca="false">IF(M68="YES",G68*(1-Assumptions!$B$1-Assumptions!$B$2)/((1+Assumptions!$B$3)*(1+Assumptions!$B$4)),"")</f>
        <v>274.476190476191</v>
      </c>
      <c r="Q68" s="2" t="n">
        <f aca="false">IF(M68="YES",G68*(1-Assumptions!$B$1-Assumptions!$B$2)/((1+Assumptions!$B$3)*(1+Assumptions!$B$5)),"")</f>
        <v>230.56</v>
      </c>
    </row>
    <row r="69" customFormat="false" ht="15" hidden="false" customHeight="false" outlineLevel="0" collapsed="false">
      <c r="A69" s="0" t="s">
        <v>17</v>
      </c>
      <c r="B69" s="0" t="n">
        <v>2</v>
      </c>
      <c r="C69" s="0" t="s">
        <v>74</v>
      </c>
      <c r="D69" s="0" t="s">
        <v>28</v>
      </c>
      <c r="E69" s="0" t="s">
        <v>20</v>
      </c>
      <c r="F69" s="2" t="n">
        <v>2162</v>
      </c>
      <c r="G69" s="2" t="n">
        <v>1674</v>
      </c>
      <c r="H69" s="2" t="n">
        <v>3677</v>
      </c>
      <c r="I69" s="2" t="n">
        <v>2550</v>
      </c>
      <c r="J69" s="3" t="s">
        <v>75</v>
      </c>
      <c r="K69" s="0" t="n">
        <v>3</v>
      </c>
      <c r="L69" s="3" t="s">
        <v>22</v>
      </c>
      <c r="M69" s="3" t="s">
        <v>23</v>
      </c>
      <c r="N69" s="2" t="n">
        <v>3392.86</v>
      </c>
      <c r="O69" s="4" t="n">
        <v>0.569315448658649</v>
      </c>
      <c r="P69" s="2" t="n">
        <f aca="false">IF(M69="YES",G69*(1-Assumptions!$B$1-Assumptions!$B$2)/((1+Assumptions!$B$3)*(1+Assumptions!$B$4)),"")</f>
        <v>1169.14285714286</v>
      </c>
      <c r="Q69" s="2" t="n">
        <f aca="false">IF(M69="YES",G69*(1-Assumptions!$B$1-Assumptions!$B$2)/((1+Assumptions!$B$3)*(1+Assumptions!$B$5)),"")</f>
        <v>982.08</v>
      </c>
    </row>
    <row r="70" customFormat="false" ht="15" hidden="false" customHeight="false" outlineLevel="0" collapsed="false">
      <c r="A70" s="0" t="s">
        <v>17</v>
      </c>
      <c r="B70" s="0" t="n">
        <v>2</v>
      </c>
      <c r="C70" s="0" t="s">
        <v>74</v>
      </c>
      <c r="D70" s="0" t="s">
        <v>28</v>
      </c>
      <c r="E70" s="0" t="s">
        <v>24</v>
      </c>
      <c r="F70" s="2" t="n">
        <v>78</v>
      </c>
      <c r="G70" s="2" t="n">
        <v>61</v>
      </c>
      <c r="H70" s="2" t="n">
        <v>104</v>
      </c>
      <c r="I70" s="2" t="n">
        <v>91</v>
      </c>
      <c r="J70" s="3" t="s">
        <v>45</v>
      </c>
      <c r="K70" s="0" t="n">
        <v>14</v>
      </c>
      <c r="L70" s="3" t="s">
        <v>22</v>
      </c>
      <c r="M70" s="3" t="s">
        <v>23</v>
      </c>
      <c r="N70" s="2" t="n">
        <v>84.56</v>
      </c>
      <c r="O70" s="4" t="n">
        <v>0.0841025641025641</v>
      </c>
      <c r="P70" s="2" t="n">
        <f aca="false">IF(M70="YES",G70*(1-Assumptions!$B$1-Assumptions!$B$2)/((1+Assumptions!$B$3)*(1+Assumptions!$B$4)),"")</f>
        <v>42.6031746031746</v>
      </c>
      <c r="Q70" s="2" t="n">
        <f aca="false">IF(M70="YES",G70*(1-Assumptions!$B$1-Assumptions!$B$2)/((1+Assumptions!$B$3)*(1+Assumptions!$B$5)),"")</f>
        <v>35.7866666666667</v>
      </c>
    </row>
    <row r="71" customFormat="false" ht="15" hidden="false" customHeight="false" outlineLevel="0" collapsed="false">
      <c r="A71" s="0" t="s">
        <v>17</v>
      </c>
      <c r="B71" s="0" t="n">
        <v>2</v>
      </c>
      <c r="C71" s="0" t="s">
        <v>74</v>
      </c>
      <c r="D71" s="0" t="s">
        <v>28</v>
      </c>
      <c r="E71" s="0" t="s">
        <v>26</v>
      </c>
      <c r="F71" s="2" t="n">
        <v>162</v>
      </c>
      <c r="G71" s="2" t="n">
        <v>119</v>
      </c>
      <c r="H71" s="2" t="n">
        <v>222</v>
      </c>
      <c r="I71" s="2" t="n">
        <v>160</v>
      </c>
      <c r="J71" s="3" t="s">
        <v>32</v>
      </c>
      <c r="K71" s="0" t="n">
        <v>19</v>
      </c>
      <c r="L71" s="3" t="s">
        <v>22</v>
      </c>
      <c r="M71" s="3" t="s">
        <v>23</v>
      </c>
      <c r="N71" s="2" t="n">
        <v>160.07</v>
      </c>
      <c r="O71" s="4" t="n">
        <v>-0.0119135802469135</v>
      </c>
      <c r="P71" s="2" t="n">
        <f aca="false">IF(M71="YES",G71*(1-Assumptions!$B$1-Assumptions!$B$2)/((1+Assumptions!$B$3)*(1+Assumptions!$B$4)),"")</f>
        <v>83.1111111111111</v>
      </c>
      <c r="Q71" s="2" t="n">
        <f aca="false">IF(M71="YES",G71*(1-Assumptions!$B$1-Assumptions!$B$2)/((1+Assumptions!$B$3)*(1+Assumptions!$B$5)),"")</f>
        <v>69.8133333333333</v>
      </c>
    </row>
    <row r="72" customFormat="false" ht="15" hidden="false" customHeight="false" outlineLevel="0" collapsed="false">
      <c r="A72" s="0" t="s">
        <v>17</v>
      </c>
      <c r="B72" s="0" t="n">
        <v>3</v>
      </c>
      <c r="C72" s="0" t="s">
        <v>76</v>
      </c>
      <c r="D72" s="0" t="s">
        <v>19</v>
      </c>
      <c r="E72" s="0" t="s">
        <v>20</v>
      </c>
      <c r="F72" s="2" t="n">
        <v>2389</v>
      </c>
      <c r="G72" s="2" t="n">
        <v>1850</v>
      </c>
      <c r="H72" s="2" t="n">
        <v>4062</v>
      </c>
      <c r="I72" s="2" t="n">
        <v>3091</v>
      </c>
      <c r="J72" s="3" t="s">
        <v>72</v>
      </c>
      <c r="K72" s="0" t="n">
        <v>19</v>
      </c>
      <c r="L72" s="3" t="s">
        <v>22</v>
      </c>
      <c r="M72" s="3" t="s">
        <v>23</v>
      </c>
      <c r="N72" s="2" t="n">
        <v>2683.16</v>
      </c>
      <c r="O72" s="4" t="n">
        <v>0.123131017161992</v>
      </c>
      <c r="P72" s="2" t="n">
        <f aca="false">IF(M72="YES",G72*(1-Assumptions!$B$1-Assumptions!$B$2)/((1+Assumptions!$B$3)*(1+Assumptions!$B$4)),"")</f>
        <v>1292.06349206349</v>
      </c>
      <c r="Q72" s="2" t="n">
        <f aca="false">IF(M72="YES",G72*(1-Assumptions!$B$1-Assumptions!$B$2)/((1+Assumptions!$B$3)*(1+Assumptions!$B$5)),"")</f>
        <v>1085.33333333333</v>
      </c>
    </row>
    <row r="73" customFormat="false" ht="15" hidden="false" customHeight="false" outlineLevel="0" collapsed="false">
      <c r="A73" s="0" t="s">
        <v>17</v>
      </c>
      <c r="B73" s="0" t="n">
        <v>3</v>
      </c>
      <c r="C73" s="0" t="s">
        <v>76</v>
      </c>
      <c r="D73" s="0" t="s">
        <v>19</v>
      </c>
      <c r="E73" s="0" t="s">
        <v>24</v>
      </c>
      <c r="F73" s="2" t="n">
        <v>115</v>
      </c>
      <c r="G73" s="2" t="n">
        <v>91</v>
      </c>
      <c r="H73" s="2" t="n">
        <v>154</v>
      </c>
      <c r="I73" s="2" t="n">
        <v>117</v>
      </c>
      <c r="J73" s="3" t="s">
        <v>25</v>
      </c>
      <c r="K73" s="0" t="n">
        <v>24</v>
      </c>
      <c r="L73" s="3" t="s">
        <v>22</v>
      </c>
      <c r="M73" s="3" t="s">
        <v>23</v>
      </c>
      <c r="N73" s="2" t="n">
        <v>99.18</v>
      </c>
      <c r="O73" s="4" t="n">
        <v>-0.137565217391304</v>
      </c>
      <c r="P73" s="2" t="n">
        <f aca="false">IF(M73="YES",G73*(1-Assumptions!$B$1-Assumptions!$B$2)/((1+Assumptions!$B$3)*(1+Assumptions!$B$4)),"")</f>
        <v>63.5555555555556</v>
      </c>
      <c r="Q73" s="2" t="n">
        <f aca="false">IF(M73="YES",G73*(1-Assumptions!$B$1-Assumptions!$B$2)/((1+Assumptions!$B$3)*(1+Assumptions!$B$5)),"")</f>
        <v>53.3866666666667</v>
      </c>
    </row>
    <row r="74" customFormat="false" ht="15" hidden="false" customHeight="false" outlineLevel="0" collapsed="false">
      <c r="A74" s="0" t="s">
        <v>17</v>
      </c>
      <c r="B74" s="0" t="n">
        <v>3</v>
      </c>
      <c r="C74" s="0" t="s">
        <v>76</v>
      </c>
      <c r="D74" s="0" t="s">
        <v>19</v>
      </c>
      <c r="E74" s="0" t="s">
        <v>26</v>
      </c>
      <c r="F74" s="2" t="n">
        <v>227</v>
      </c>
      <c r="G74" s="2" t="n">
        <v>167</v>
      </c>
      <c r="H74" s="2" t="n">
        <v>311</v>
      </c>
      <c r="I74" s="2" t="n">
        <v>291</v>
      </c>
      <c r="J74" s="3" t="s">
        <v>25</v>
      </c>
      <c r="K74" s="0" t="n">
        <v>20</v>
      </c>
      <c r="L74" s="3" t="s">
        <v>22</v>
      </c>
      <c r="M74" s="3" t="s">
        <v>23</v>
      </c>
      <c r="N74" s="2" t="n">
        <v>239.33</v>
      </c>
      <c r="O74" s="4" t="n">
        <v>0.0543171806167401</v>
      </c>
      <c r="P74" s="2" t="n">
        <f aca="false">IF(M74="YES",G74*(1-Assumptions!$B$1-Assumptions!$B$2)/((1+Assumptions!$B$3)*(1+Assumptions!$B$4)),"")</f>
        <v>116.634920634921</v>
      </c>
      <c r="Q74" s="2" t="n">
        <f aca="false">IF(M74="YES",G74*(1-Assumptions!$B$1-Assumptions!$B$2)/((1+Assumptions!$B$3)*(1+Assumptions!$B$5)),"")</f>
        <v>97.9733333333333</v>
      </c>
    </row>
    <row r="75" customFormat="false" ht="15" hidden="false" customHeight="false" outlineLevel="0" collapsed="false">
      <c r="A75" s="0" t="s">
        <v>17</v>
      </c>
      <c r="B75" s="0" t="n">
        <v>3</v>
      </c>
      <c r="C75" s="0" t="s">
        <v>76</v>
      </c>
      <c r="D75" s="0" t="s">
        <v>28</v>
      </c>
      <c r="E75" s="0" t="s">
        <v>20</v>
      </c>
      <c r="F75" s="2" t="n">
        <v>1336</v>
      </c>
      <c r="G75" s="2" t="n">
        <v>1034</v>
      </c>
      <c r="H75" s="2" t="n">
        <v>2271</v>
      </c>
      <c r="I75" s="2" t="n">
        <v>1660</v>
      </c>
      <c r="J75" s="3" t="s">
        <v>36</v>
      </c>
      <c r="K75" s="0" t="n">
        <v>3</v>
      </c>
      <c r="L75" s="3" t="s">
        <v>22</v>
      </c>
      <c r="M75" s="3" t="s">
        <v>23</v>
      </c>
      <c r="N75" s="2" t="n">
        <v>2102.95</v>
      </c>
      <c r="O75" s="4" t="n">
        <v>0.574064371257485</v>
      </c>
      <c r="P75" s="2" t="n">
        <f aca="false">IF(M75="YES",G75*(1-Assumptions!$B$1-Assumptions!$B$2)/((1+Assumptions!$B$3)*(1+Assumptions!$B$4)),"")</f>
        <v>722.15873015873</v>
      </c>
      <c r="Q75" s="2" t="n">
        <f aca="false">IF(M75="YES",G75*(1-Assumptions!$B$1-Assumptions!$B$2)/((1+Assumptions!$B$3)*(1+Assumptions!$B$5)),"")</f>
        <v>606.613333333333</v>
      </c>
    </row>
    <row r="76" customFormat="false" ht="15" hidden="false" customHeight="false" outlineLevel="0" collapsed="false">
      <c r="A76" s="0" t="s">
        <v>17</v>
      </c>
      <c r="B76" s="0" t="n">
        <v>3</v>
      </c>
      <c r="C76" s="0" t="s">
        <v>76</v>
      </c>
      <c r="D76" s="0" t="s">
        <v>28</v>
      </c>
      <c r="E76" s="0" t="s">
        <v>24</v>
      </c>
      <c r="F76" s="2" t="n">
        <v>51</v>
      </c>
      <c r="G76" s="2" t="n">
        <v>41</v>
      </c>
      <c r="H76" s="2" t="n">
        <v>69</v>
      </c>
      <c r="I76" s="2" t="n">
        <v>91</v>
      </c>
      <c r="J76" s="3" t="s">
        <v>77</v>
      </c>
      <c r="K76" s="0" t="n">
        <v>17</v>
      </c>
      <c r="L76" s="3" t="s">
        <v>22</v>
      </c>
      <c r="M76" s="3" t="s">
        <v>23</v>
      </c>
      <c r="N76" s="2" t="n">
        <v>73.12</v>
      </c>
      <c r="O76" s="4" t="n">
        <v>0.433725490196079</v>
      </c>
      <c r="P76" s="2" t="n">
        <f aca="false">IF(M76="YES",G76*(1-Assumptions!$B$1-Assumptions!$B$2)/((1+Assumptions!$B$3)*(1+Assumptions!$B$4)),"")</f>
        <v>28.6349206349206</v>
      </c>
      <c r="Q76" s="2" t="n">
        <f aca="false">IF(M76="YES",G76*(1-Assumptions!$B$1-Assumptions!$B$2)/((1+Assumptions!$B$3)*(1+Assumptions!$B$5)),"")</f>
        <v>24.0533333333333</v>
      </c>
    </row>
    <row r="77" customFormat="false" ht="15" hidden="false" customHeight="false" outlineLevel="0" collapsed="false">
      <c r="A77" s="0" t="s">
        <v>17</v>
      </c>
      <c r="B77" s="0" t="n">
        <v>3</v>
      </c>
      <c r="C77" s="0" t="s">
        <v>76</v>
      </c>
      <c r="D77" s="0" t="s">
        <v>28</v>
      </c>
      <c r="E77" s="0" t="s">
        <v>26</v>
      </c>
      <c r="F77" s="2" t="n">
        <v>92</v>
      </c>
      <c r="G77" s="2" t="n">
        <v>68</v>
      </c>
      <c r="H77" s="2" t="n">
        <v>126</v>
      </c>
      <c r="I77" s="2" t="n">
        <v>100</v>
      </c>
      <c r="J77" s="3" t="s">
        <v>59</v>
      </c>
      <c r="K77" s="0" t="n">
        <v>20</v>
      </c>
      <c r="L77" s="3" t="s">
        <v>22</v>
      </c>
      <c r="M77" s="3" t="s">
        <v>23</v>
      </c>
      <c r="N77" s="2" t="n">
        <v>129.75</v>
      </c>
      <c r="O77" s="4" t="n">
        <v>0.410326086956522</v>
      </c>
      <c r="P77" s="2" t="n">
        <f aca="false">IF(M77="YES",G77*(1-Assumptions!$B$1-Assumptions!$B$2)/((1+Assumptions!$B$3)*(1+Assumptions!$B$4)),"")</f>
        <v>47.4920634920635</v>
      </c>
      <c r="Q77" s="2" t="n">
        <f aca="false">IF(M77="YES",G77*(1-Assumptions!$B$1-Assumptions!$B$2)/((1+Assumptions!$B$3)*(1+Assumptions!$B$5)),"")</f>
        <v>39.8933333333333</v>
      </c>
    </row>
    <row r="78" customFormat="false" ht="15" hidden="false" customHeight="false" outlineLevel="0" collapsed="false">
      <c r="A78" s="0" t="s">
        <v>17</v>
      </c>
      <c r="B78" s="0" t="n">
        <v>4</v>
      </c>
      <c r="C78" s="0" t="s">
        <v>78</v>
      </c>
      <c r="D78" s="0" t="s">
        <v>19</v>
      </c>
      <c r="E78" s="0" t="s">
        <v>20</v>
      </c>
      <c r="F78" s="2" t="n">
        <v>10199</v>
      </c>
      <c r="G78" s="2" t="n">
        <v>7899</v>
      </c>
      <c r="H78" s="2" t="n">
        <v>17344</v>
      </c>
      <c r="I78" s="2" t="n">
        <v>11000</v>
      </c>
      <c r="J78" s="3" t="s">
        <v>59</v>
      </c>
      <c r="K78" s="0" t="n">
        <v>8</v>
      </c>
      <c r="L78" s="3" t="s">
        <v>22</v>
      </c>
      <c r="M78" s="3" t="s">
        <v>23</v>
      </c>
      <c r="N78" s="2" t="n">
        <v>12400.73</v>
      </c>
      <c r="O78" s="4" t="n">
        <v>0.215877046769291</v>
      </c>
      <c r="P78" s="2" t="n">
        <f aca="false">IF(M78="YES",G78*(1-Assumptions!$B$1-Assumptions!$B$2)/((1+Assumptions!$B$3)*(1+Assumptions!$B$4)),"")</f>
        <v>5516.76190476191</v>
      </c>
      <c r="Q78" s="2" t="n">
        <f aca="false">IF(M78="YES",G78*(1-Assumptions!$B$1-Assumptions!$B$2)/((1+Assumptions!$B$3)*(1+Assumptions!$B$5)),"")</f>
        <v>4634.08</v>
      </c>
    </row>
    <row r="79" customFormat="false" ht="15" hidden="false" customHeight="false" outlineLevel="0" collapsed="false">
      <c r="A79" s="0" t="s">
        <v>17</v>
      </c>
      <c r="B79" s="0" t="n">
        <v>4</v>
      </c>
      <c r="C79" s="0" t="s">
        <v>78</v>
      </c>
      <c r="D79" s="0" t="s">
        <v>19</v>
      </c>
      <c r="E79" s="0" t="s">
        <v>24</v>
      </c>
      <c r="F79" s="2" t="n">
        <v>363</v>
      </c>
      <c r="G79" s="2" t="n">
        <v>288</v>
      </c>
      <c r="H79" s="2" t="n">
        <v>487</v>
      </c>
      <c r="I79" s="2" t="n">
        <v>375</v>
      </c>
      <c r="J79" s="3" t="s">
        <v>63</v>
      </c>
      <c r="K79" s="0" t="n">
        <v>21</v>
      </c>
      <c r="L79" s="3" t="s">
        <v>22</v>
      </c>
      <c r="M79" s="3" t="s">
        <v>23</v>
      </c>
      <c r="N79" s="2" t="n">
        <v>357.85</v>
      </c>
      <c r="O79" s="4" t="n">
        <v>-0.0141873278236913</v>
      </c>
      <c r="P79" s="2" t="n">
        <f aca="false">IF(M79="YES",G79*(1-Assumptions!$B$1-Assumptions!$B$2)/((1+Assumptions!$B$3)*(1+Assumptions!$B$4)),"")</f>
        <v>201.142857142857</v>
      </c>
      <c r="Q79" s="2" t="n">
        <f aca="false">IF(M79="YES",G79*(1-Assumptions!$B$1-Assumptions!$B$2)/((1+Assumptions!$B$3)*(1+Assumptions!$B$5)),"")</f>
        <v>168.96</v>
      </c>
    </row>
    <row r="80" customFormat="false" ht="15" hidden="false" customHeight="false" outlineLevel="0" collapsed="false">
      <c r="A80" s="0" t="s">
        <v>17</v>
      </c>
      <c r="B80" s="0" t="n">
        <v>4</v>
      </c>
      <c r="C80" s="0" t="s">
        <v>78</v>
      </c>
      <c r="D80" s="0" t="s">
        <v>19</v>
      </c>
      <c r="E80" s="0" t="s">
        <v>26</v>
      </c>
      <c r="F80" s="2" t="n">
        <v>903</v>
      </c>
      <c r="G80" s="2" t="n">
        <v>665</v>
      </c>
      <c r="H80" s="2" t="n">
        <v>1238</v>
      </c>
      <c r="I80" s="2" t="n">
        <v>1001</v>
      </c>
      <c r="J80" s="3" t="s">
        <v>72</v>
      </c>
      <c r="K80" s="0" t="n">
        <v>17</v>
      </c>
      <c r="L80" s="3" t="s">
        <v>22</v>
      </c>
      <c r="M80" s="3" t="s">
        <v>23</v>
      </c>
      <c r="N80" s="2" t="n">
        <v>952.64</v>
      </c>
      <c r="O80" s="4" t="n">
        <v>0.0549723145071983</v>
      </c>
      <c r="P80" s="2" t="n">
        <f aca="false">IF(M80="YES",G80*(1-Assumptions!$B$1-Assumptions!$B$2)/((1+Assumptions!$B$3)*(1+Assumptions!$B$4)),"")</f>
        <v>464.444444444444</v>
      </c>
      <c r="Q80" s="2" t="n">
        <f aca="false">IF(M80="YES",G80*(1-Assumptions!$B$1-Assumptions!$B$2)/((1+Assumptions!$B$3)*(1+Assumptions!$B$5)),"")</f>
        <v>390.133333333333</v>
      </c>
    </row>
    <row r="81" customFormat="false" ht="15" hidden="false" customHeight="false" outlineLevel="0" collapsed="false">
      <c r="A81" s="0" t="s">
        <v>17</v>
      </c>
      <c r="B81" s="0" t="n">
        <v>4</v>
      </c>
      <c r="C81" s="0" t="s">
        <v>78</v>
      </c>
      <c r="D81" s="0" t="s">
        <v>28</v>
      </c>
      <c r="E81" s="0" t="s">
        <v>20</v>
      </c>
      <c r="F81" s="2" t="n">
        <v>2989</v>
      </c>
      <c r="G81" s="2" t="n">
        <v>2264</v>
      </c>
      <c r="H81" s="2" t="n">
        <v>10874</v>
      </c>
      <c r="I81" s="2" t="n">
        <v>2805</v>
      </c>
      <c r="J81" s="3" t="s">
        <v>79</v>
      </c>
      <c r="K81" s="0" t="n">
        <v>2</v>
      </c>
      <c r="L81" s="3" t="s">
        <v>30</v>
      </c>
      <c r="M81" s="3" t="s">
        <v>31</v>
      </c>
      <c r="N81" s="2" t="n">
        <v>5088.27</v>
      </c>
      <c r="O81" s="4" t="n">
        <v>0.702331883573102</v>
      </c>
      <c r="P81" s="2" t="str">
        <f aca="false">IF(M81="YES",G81*(1-Assumptions!$B$1-Assumptions!$B$2)/((1+Assumptions!$B$3)*(1+Assumptions!$B$4)),"")</f>
        <v/>
      </c>
      <c r="Q81" s="2" t="str">
        <f aca="false">IF(M81="YES",G81*(1-Assumptions!$B$1-Assumptions!$B$2)/((1+Assumptions!$B$3)*(1+Assumptions!$B$5)),"")</f>
        <v/>
      </c>
    </row>
    <row r="82" customFormat="false" ht="15" hidden="false" customHeight="false" outlineLevel="0" collapsed="false">
      <c r="A82" s="0" t="s">
        <v>17</v>
      </c>
      <c r="B82" s="0" t="n">
        <v>4</v>
      </c>
      <c r="C82" s="0" t="s">
        <v>78</v>
      </c>
      <c r="D82" s="0" t="s">
        <v>28</v>
      </c>
      <c r="E82" s="0" t="s">
        <v>24</v>
      </c>
      <c r="F82" s="2" t="n">
        <v>181</v>
      </c>
      <c r="G82" s="2" t="n">
        <v>143</v>
      </c>
      <c r="H82" s="2" t="n">
        <v>242</v>
      </c>
      <c r="I82" s="2" t="n">
        <v>180</v>
      </c>
      <c r="J82" s="3" t="s">
        <v>46</v>
      </c>
      <c r="K82" s="0" t="n">
        <v>19</v>
      </c>
      <c r="L82" s="3" t="s">
        <v>22</v>
      </c>
      <c r="M82" s="3" t="s">
        <v>23</v>
      </c>
      <c r="N82" s="2" t="n">
        <v>172.01</v>
      </c>
      <c r="O82" s="4" t="n">
        <v>-0.0496685082872928</v>
      </c>
      <c r="P82" s="2" t="n">
        <f aca="false">IF(M82="YES",G82*(1-Assumptions!$B$1-Assumptions!$B$2)/((1+Assumptions!$B$3)*(1+Assumptions!$B$4)),"")</f>
        <v>99.8730158730159</v>
      </c>
      <c r="Q82" s="2" t="n">
        <f aca="false">IF(M82="YES",G82*(1-Assumptions!$B$1-Assumptions!$B$2)/((1+Assumptions!$B$3)*(1+Assumptions!$B$5)),"")</f>
        <v>83.8933333333333</v>
      </c>
    </row>
    <row r="83" customFormat="false" ht="15" hidden="false" customHeight="false" outlineLevel="0" collapsed="false">
      <c r="A83" s="0" t="s">
        <v>17</v>
      </c>
      <c r="B83" s="0" t="n">
        <v>4</v>
      </c>
      <c r="C83" s="0" t="s">
        <v>78</v>
      </c>
      <c r="D83" s="0" t="s">
        <v>28</v>
      </c>
      <c r="E83" s="0" t="s">
        <v>26</v>
      </c>
      <c r="F83" s="2" t="n">
        <v>392</v>
      </c>
      <c r="G83" s="2" t="n">
        <v>289</v>
      </c>
      <c r="H83" s="2" t="n">
        <v>537</v>
      </c>
      <c r="I83" s="2" t="n">
        <v>450</v>
      </c>
      <c r="J83" s="3" t="s">
        <v>53</v>
      </c>
      <c r="K83" s="0" t="n">
        <v>19</v>
      </c>
      <c r="L83" s="3" t="s">
        <v>22</v>
      </c>
      <c r="M83" s="3" t="s">
        <v>23</v>
      </c>
      <c r="N83" s="2" t="n">
        <v>388.35</v>
      </c>
      <c r="O83" s="4" t="n">
        <v>-0.0093112244897958</v>
      </c>
      <c r="P83" s="2" t="n">
        <f aca="false">IF(M83="YES",G83*(1-Assumptions!$B$1-Assumptions!$B$2)/((1+Assumptions!$B$3)*(1+Assumptions!$B$4)),"")</f>
        <v>201.84126984127</v>
      </c>
      <c r="Q83" s="2" t="n">
        <f aca="false">IF(M83="YES",G83*(1-Assumptions!$B$1-Assumptions!$B$2)/((1+Assumptions!$B$3)*(1+Assumptions!$B$5)),"")</f>
        <v>169.546666666667</v>
      </c>
    </row>
    <row r="84" customFormat="false" ht="15" hidden="false" customHeight="false" outlineLevel="0" collapsed="false">
      <c r="A84" s="0" t="s">
        <v>17</v>
      </c>
      <c r="B84" s="0" t="n">
        <v>5</v>
      </c>
      <c r="C84" s="0" t="s">
        <v>78</v>
      </c>
      <c r="D84" s="0" t="s">
        <v>19</v>
      </c>
      <c r="E84" s="0" t="s">
        <v>20</v>
      </c>
      <c r="F84" s="2" t="n">
        <v>10291</v>
      </c>
      <c r="G84" s="2" t="n">
        <v>7795</v>
      </c>
      <c r="H84" s="2" t="n">
        <v>37438</v>
      </c>
      <c r="I84" s="2" t="n">
        <v>5000</v>
      </c>
      <c r="J84" s="3" t="s">
        <v>80</v>
      </c>
      <c r="K84" s="0" t="n">
        <v>0</v>
      </c>
      <c r="L84" s="3" t="s">
        <v>30</v>
      </c>
      <c r="M84" s="3" t="s">
        <v>31</v>
      </c>
      <c r="N84" s="2" t="n">
        <v>43829</v>
      </c>
      <c r="O84" s="4" t="n">
        <v>3.2589641434263</v>
      </c>
      <c r="P84" s="2" t="str">
        <f aca="false">IF(M84="YES",G84*(1-Assumptions!$B$1-Assumptions!$B$2)/((1+Assumptions!$B$3)*(1+Assumptions!$B$4)),"")</f>
        <v/>
      </c>
      <c r="Q84" s="2" t="str">
        <f aca="false">IF(M84="YES",G84*(1-Assumptions!$B$1-Assumptions!$B$2)/((1+Assumptions!$B$3)*(1+Assumptions!$B$5)),"")</f>
        <v/>
      </c>
    </row>
    <row r="85" customFormat="false" ht="15" hidden="false" customHeight="false" outlineLevel="0" collapsed="false">
      <c r="A85" s="0" t="s">
        <v>17</v>
      </c>
      <c r="B85" s="0" t="n">
        <v>5</v>
      </c>
      <c r="C85" s="0" t="s">
        <v>78</v>
      </c>
      <c r="D85" s="0" t="s">
        <v>19</v>
      </c>
      <c r="E85" s="0" t="s">
        <v>24</v>
      </c>
      <c r="F85" s="2" t="n">
        <v>506</v>
      </c>
      <c r="G85" s="2" t="n">
        <v>400</v>
      </c>
      <c r="H85" s="2" t="n">
        <v>678</v>
      </c>
      <c r="I85" s="2" t="n">
        <v>527</v>
      </c>
      <c r="J85" s="3" t="s">
        <v>35</v>
      </c>
      <c r="K85" s="0" t="n">
        <v>18</v>
      </c>
      <c r="L85" s="3" t="s">
        <v>22</v>
      </c>
      <c r="M85" s="3" t="s">
        <v>23</v>
      </c>
      <c r="N85" s="2" t="n">
        <v>541.18</v>
      </c>
      <c r="O85" s="4" t="n">
        <v>0.0695256916996045</v>
      </c>
      <c r="P85" s="2" t="n">
        <f aca="false">IF(M85="YES",G85*(1-Assumptions!$B$1-Assumptions!$B$2)/((1+Assumptions!$B$3)*(1+Assumptions!$B$4)),"")</f>
        <v>279.365079365079</v>
      </c>
      <c r="Q85" s="2" t="n">
        <f aca="false">IF(M85="YES",G85*(1-Assumptions!$B$1-Assumptions!$B$2)/((1+Assumptions!$B$3)*(1+Assumptions!$B$5)),"")</f>
        <v>234.666666666667</v>
      </c>
    </row>
    <row r="86" customFormat="false" ht="15" hidden="false" customHeight="false" outlineLevel="0" collapsed="false">
      <c r="A86" s="0" t="s">
        <v>17</v>
      </c>
      <c r="B86" s="0" t="n">
        <v>5</v>
      </c>
      <c r="C86" s="0" t="s">
        <v>78</v>
      </c>
      <c r="D86" s="0" t="s">
        <v>19</v>
      </c>
      <c r="E86" s="0" t="s">
        <v>26</v>
      </c>
      <c r="F86" s="2" t="n">
        <v>1458</v>
      </c>
      <c r="G86" s="2" t="n">
        <v>1074</v>
      </c>
      <c r="H86" s="2" t="n">
        <v>1999</v>
      </c>
      <c r="I86" s="2" t="n">
        <v>2000</v>
      </c>
      <c r="J86" s="3" t="s">
        <v>32</v>
      </c>
      <c r="K86" s="0" t="n">
        <v>23</v>
      </c>
      <c r="L86" s="3" t="s">
        <v>22</v>
      </c>
      <c r="M86" s="3" t="s">
        <v>23</v>
      </c>
      <c r="N86" s="2" t="n">
        <v>2387.57</v>
      </c>
      <c r="O86" s="4" t="n">
        <v>0.637565157750343</v>
      </c>
      <c r="P86" s="2" t="n">
        <f aca="false">IF(M86="YES",G86*(1-Assumptions!$B$1-Assumptions!$B$2)/((1+Assumptions!$B$3)*(1+Assumptions!$B$4)),"")</f>
        <v>750.095238095238</v>
      </c>
      <c r="Q86" s="2" t="n">
        <f aca="false">IF(M86="YES",G86*(1-Assumptions!$B$1-Assumptions!$B$2)/((1+Assumptions!$B$3)*(1+Assumptions!$B$5)),"")</f>
        <v>630.08</v>
      </c>
    </row>
    <row r="87" customFormat="false" ht="15" hidden="false" customHeight="false" outlineLevel="0" collapsed="false">
      <c r="A87" s="0" t="s">
        <v>17</v>
      </c>
      <c r="B87" s="0" t="n">
        <v>5</v>
      </c>
      <c r="C87" s="0" t="s">
        <v>78</v>
      </c>
      <c r="D87" s="0" t="s">
        <v>28</v>
      </c>
      <c r="E87" s="0" t="s">
        <v>20</v>
      </c>
      <c r="F87" s="2" t="n">
        <v>6626</v>
      </c>
      <c r="G87" s="2" t="n">
        <v>5019</v>
      </c>
      <c r="H87" s="2" t="n">
        <v>24106</v>
      </c>
      <c r="I87" s="2" t="n">
        <v>8067</v>
      </c>
      <c r="J87" s="3" t="s">
        <v>81</v>
      </c>
      <c r="K87" s="0" t="n">
        <v>1</v>
      </c>
      <c r="L87" s="3" t="s">
        <v>30</v>
      </c>
      <c r="M87" s="3" t="s">
        <v>31</v>
      </c>
      <c r="N87" s="2" t="n">
        <v>8067</v>
      </c>
      <c r="O87" s="4" t="n">
        <v>0.217476607304558</v>
      </c>
      <c r="P87" s="2" t="str">
        <f aca="false">IF(M87="YES",G87*(1-Assumptions!$B$1-Assumptions!$B$2)/((1+Assumptions!$B$3)*(1+Assumptions!$B$4)),"")</f>
        <v/>
      </c>
      <c r="Q87" s="2" t="str">
        <f aca="false">IF(M87="YES",G87*(1-Assumptions!$B$1-Assumptions!$B$2)/((1+Assumptions!$B$3)*(1+Assumptions!$B$5)),"")</f>
        <v/>
      </c>
    </row>
    <row r="88" customFormat="false" ht="15" hidden="false" customHeight="false" outlineLevel="0" collapsed="false">
      <c r="A88" s="0" t="s">
        <v>17</v>
      </c>
      <c r="B88" s="0" t="n">
        <v>5</v>
      </c>
      <c r="C88" s="0" t="s">
        <v>78</v>
      </c>
      <c r="D88" s="0" t="s">
        <v>28</v>
      </c>
      <c r="E88" s="0" t="s">
        <v>24</v>
      </c>
      <c r="F88" s="2" t="n">
        <v>193</v>
      </c>
      <c r="G88" s="2" t="n">
        <v>153</v>
      </c>
      <c r="H88" s="2" t="n">
        <v>259</v>
      </c>
      <c r="I88" s="2" t="n">
        <v>275</v>
      </c>
      <c r="J88" s="3" t="s">
        <v>46</v>
      </c>
      <c r="K88" s="0" t="n">
        <v>23</v>
      </c>
      <c r="L88" s="3" t="s">
        <v>22</v>
      </c>
      <c r="M88" s="3" t="s">
        <v>23</v>
      </c>
      <c r="N88" s="2" t="n">
        <v>209.5</v>
      </c>
      <c r="O88" s="4" t="n">
        <v>0.0854922279792747</v>
      </c>
      <c r="P88" s="2" t="n">
        <f aca="false">IF(M88="YES",G88*(1-Assumptions!$B$1-Assumptions!$B$2)/((1+Assumptions!$B$3)*(1+Assumptions!$B$4)),"")</f>
        <v>106.857142857143</v>
      </c>
      <c r="Q88" s="2" t="n">
        <f aca="false">IF(M88="YES",G88*(1-Assumptions!$B$1-Assumptions!$B$2)/((1+Assumptions!$B$3)*(1+Assumptions!$B$5)),"")</f>
        <v>89.76</v>
      </c>
    </row>
    <row r="89" customFormat="false" ht="15" hidden="false" customHeight="false" outlineLevel="0" collapsed="false">
      <c r="A89" s="0" t="s">
        <v>17</v>
      </c>
      <c r="B89" s="0" t="n">
        <v>5</v>
      </c>
      <c r="C89" s="0" t="s">
        <v>78</v>
      </c>
      <c r="D89" s="0" t="s">
        <v>28</v>
      </c>
      <c r="E89" s="0" t="s">
        <v>26</v>
      </c>
      <c r="F89" s="2" t="n">
        <v>442</v>
      </c>
      <c r="G89" s="2" t="n">
        <v>326</v>
      </c>
      <c r="H89" s="2" t="n">
        <v>606</v>
      </c>
      <c r="I89" s="2" t="n">
        <v>400</v>
      </c>
      <c r="J89" s="3" t="s">
        <v>82</v>
      </c>
      <c r="K89" s="0" t="n">
        <v>15</v>
      </c>
      <c r="L89" s="3" t="s">
        <v>22</v>
      </c>
      <c r="M89" s="3" t="s">
        <v>23</v>
      </c>
      <c r="N89" s="2" t="n">
        <v>594.69</v>
      </c>
      <c r="O89" s="4" t="n">
        <v>0.345452488687783</v>
      </c>
      <c r="P89" s="2" t="n">
        <f aca="false">IF(M89="YES",G89*(1-Assumptions!$B$1-Assumptions!$B$2)/((1+Assumptions!$B$3)*(1+Assumptions!$B$4)),"")</f>
        <v>227.68253968254</v>
      </c>
      <c r="Q89" s="2" t="n">
        <f aca="false">IF(M89="YES",G89*(1-Assumptions!$B$1-Assumptions!$B$2)/((1+Assumptions!$B$3)*(1+Assumptions!$B$5)),"")</f>
        <v>191.253333333333</v>
      </c>
    </row>
    <row r="90" customFormat="false" ht="15" hidden="false" customHeight="false" outlineLevel="0" collapsed="false">
      <c r="A90" s="0" t="s">
        <v>17</v>
      </c>
      <c r="B90" s="0" t="n">
        <v>6</v>
      </c>
      <c r="C90" s="0" t="s">
        <v>83</v>
      </c>
      <c r="D90" s="0" t="s">
        <v>19</v>
      </c>
      <c r="E90" s="0" t="s">
        <v>20</v>
      </c>
      <c r="F90" s="2" t="n">
        <v>15622</v>
      </c>
      <c r="G90" s="2" t="n">
        <v>12099</v>
      </c>
      <c r="H90" s="2" t="n">
        <v>26565</v>
      </c>
      <c r="I90" s="2" t="n">
        <v>25578</v>
      </c>
      <c r="J90" s="3" t="s">
        <v>84</v>
      </c>
      <c r="K90" s="0" t="n">
        <v>3</v>
      </c>
      <c r="L90" s="3" t="s">
        <v>22</v>
      </c>
      <c r="M90" s="3" t="s">
        <v>23</v>
      </c>
      <c r="N90" s="2" t="n">
        <v>33828.57</v>
      </c>
      <c r="O90" s="4" t="n">
        <v>1.1654442452951</v>
      </c>
      <c r="P90" s="2" t="n">
        <f aca="false">IF(M90="YES",G90*(1-Assumptions!$B$1-Assumptions!$B$2)/((1+Assumptions!$B$3)*(1+Assumptions!$B$4)),"")</f>
        <v>8450.09523809524</v>
      </c>
      <c r="Q90" s="2" t="n">
        <f aca="false">IF(M90="YES",G90*(1-Assumptions!$B$1-Assumptions!$B$2)/((1+Assumptions!$B$3)*(1+Assumptions!$B$5)),"")</f>
        <v>7098.08</v>
      </c>
    </row>
    <row r="91" customFormat="false" ht="15" hidden="false" customHeight="false" outlineLevel="0" collapsed="false">
      <c r="A91" s="0" t="s">
        <v>17</v>
      </c>
      <c r="B91" s="0" t="n">
        <v>6</v>
      </c>
      <c r="C91" s="0" t="s">
        <v>83</v>
      </c>
      <c r="D91" s="0" t="s">
        <v>19</v>
      </c>
      <c r="E91" s="0" t="s">
        <v>24</v>
      </c>
      <c r="F91" s="2" t="n">
        <v>304</v>
      </c>
      <c r="G91" s="2" t="n">
        <v>241</v>
      </c>
      <c r="H91" s="2" t="n">
        <v>408</v>
      </c>
      <c r="I91" s="2" t="n">
        <v>325</v>
      </c>
      <c r="J91" s="3" t="s">
        <v>49</v>
      </c>
      <c r="K91" s="0" t="n">
        <v>18</v>
      </c>
      <c r="L91" s="3" t="s">
        <v>22</v>
      </c>
      <c r="M91" s="3" t="s">
        <v>23</v>
      </c>
      <c r="N91" s="2" t="n">
        <v>271.55</v>
      </c>
      <c r="O91" s="4" t="n">
        <v>-0.106743421052632</v>
      </c>
      <c r="P91" s="2" t="n">
        <f aca="false">IF(M91="YES",G91*(1-Assumptions!$B$1-Assumptions!$B$2)/((1+Assumptions!$B$3)*(1+Assumptions!$B$4)),"")</f>
        <v>168.31746031746</v>
      </c>
      <c r="Q91" s="2" t="n">
        <f aca="false">IF(M91="YES",G91*(1-Assumptions!$B$1-Assumptions!$B$2)/((1+Assumptions!$B$3)*(1+Assumptions!$B$5)),"")</f>
        <v>141.386666666667</v>
      </c>
    </row>
    <row r="92" customFormat="false" ht="15" hidden="false" customHeight="false" outlineLevel="0" collapsed="false">
      <c r="A92" s="0" t="s">
        <v>17</v>
      </c>
      <c r="B92" s="0" t="n">
        <v>6</v>
      </c>
      <c r="C92" s="0" t="s">
        <v>83</v>
      </c>
      <c r="D92" s="0" t="s">
        <v>19</v>
      </c>
      <c r="E92" s="0" t="s">
        <v>26</v>
      </c>
      <c r="F92" s="2" t="n">
        <v>718</v>
      </c>
      <c r="G92" s="2" t="n">
        <v>529</v>
      </c>
      <c r="H92" s="2" t="n">
        <v>984</v>
      </c>
      <c r="I92" s="2" t="n">
        <v>702</v>
      </c>
      <c r="J92" s="3" t="s">
        <v>41</v>
      </c>
      <c r="K92" s="0" t="n">
        <v>15</v>
      </c>
      <c r="L92" s="3" t="s">
        <v>22</v>
      </c>
      <c r="M92" s="3" t="s">
        <v>23</v>
      </c>
      <c r="N92" s="2" t="n">
        <v>699.66</v>
      </c>
      <c r="O92" s="4" t="n">
        <v>-0.0255431754874652</v>
      </c>
      <c r="P92" s="2" t="n">
        <f aca="false">IF(M92="YES",G92*(1-Assumptions!$B$1-Assumptions!$B$2)/((1+Assumptions!$B$3)*(1+Assumptions!$B$4)),"")</f>
        <v>369.460317460317</v>
      </c>
      <c r="Q92" s="2" t="n">
        <f aca="false">IF(M92="YES",G92*(1-Assumptions!$B$1-Assumptions!$B$2)/((1+Assumptions!$B$3)*(1+Assumptions!$B$5)),"")</f>
        <v>310.346666666667</v>
      </c>
    </row>
    <row r="93" customFormat="false" ht="15" hidden="false" customHeight="false" outlineLevel="0" collapsed="false">
      <c r="A93" s="0" t="s">
        <v>17</v>
      </c>
      <c r="B93" s="0" t="n">
        <v>6</v>
      </c>
      <c r="C93" s="0" t="s">
        <v>83</v>
      </c>
      <c r="D93" s="0" t="s">
        <v>28</v>
      </c>
      <c r="E93" s="0" t="s">
        <v>20</v>
      </c>
      <c r="F93" s="2" t="n">
        <v>10440</v>
      </c>
      <c r="G93" s="2" t="n">
        <v>7908</v>
      </c>
      <c r="H93" s="2" t="n">
        <v>37981</v>
      </c>
      <c r="I93" s="2" t="n">
        <v>21499</v>
      </c>
      <c r="J93" s="3" t="s">
        <v>85</v>
      </c>
      <c r="K93" s="0" t="n">
        <v>1</v>
      </c>
      <c r="L93" s="3" t="s">
        <v>30</v>
      </c>
      <c r="M93" s="3" t="s">
        <v>31</v>
      </c>
      <c r="N93" s="2" t="n">
        <v>21499</v>
      </c>
      <c r="O93" s="4" t="n">
        <v>1.05929118773946</v>
      </c>
      <c r="P93" s="2" t="str">
        <f aca="false">IF(M93="YES",G93*(1-Assumptions!$B$1-Assumptions!$B$2)/((1+Assumptions!$B$3)*(1+Assumptions!$B$4)),"")</f>
        <v/>
      </c>
      <c r="Q93" s="2" t="str">
        <f aca="false">IF(M93="YES",G93*(1-Assumptions!$B$1-Assumptions!$B$2)/((1+Assumptions!$B$3)*(1+Assumptions!$B$5)),"")</f>
        <v/>
      </c>
    </row>
    <row r="94" customFormat="false" ht="15" hidden="false" customHeight="false" outlineLevel="0" collapsed="false">
      <c r="A94" s="0" t="s">
        <v>17</v>
      </c>
      <c r="B94" s="0" t="n">
        <v>6</v>
      </c>
      <c r="C94" s="0" t="s">
        <v>83</v>
      </c>
      <c r="D94" s="0" t="s">
        <v>28</v>
      </c>
      <c r="E94" s="0" t="s">
        <v>24</v>
      </c>
      <c r="F94" s="2" t="n">
        <v>100</v>
      </c>
      <c r="G94" s="2" t="n">
        <v>79</v>
      </c>
      <c r="H94" s="2" t="n">
        <v>134</v>
      </c>
      <c r="I94" s="2" t="n">
        <v>130</v>
      </c>
      <c r="J94" s="3" t="s">
        <v>42</v>
      </c>
      <c r="K94" s="0" t="n">
        <v>20</v>
      </c>
      <c r="L94" s="3" t="s">
        <v>22</v>
      </c>
      <c r="M94" s="3" t="s">
        <v>23</v>
      </c>
      <c r="N94" s="2" t="n">
        <v>110.07</v>
      </c>
      <c r="O94" s="4" t="n">
        <v>0.1007</v>
      </c>
      <c r="P94" s="2" t="n">
        <f aca="false">IF(M94="YES",G94*(1-Assumptions!$B$1-Assumptions!$B$2)/((1+Assumptions!$B$3)*(1+Assumptions!$B$4)),"")</f>
        <v>55.1746031746032</v>
      </c>
      <c r="Q94" s="2" t="n">
        <f aca="false">IF(M94="YES",G94*(1-Assumptions!$B$1-Assumptions!$B$2)/((1+Assumptions!$B$3)*(1+Assumptions!$B$5)),"")</f>
        <v>46.3466666666667</v>
      </c>
    </row>
    <row r="95" customFormat="false" ht="15" hidden="false" customHeight="false" outlineLevel="0" collapsed="false">
      <c r="A95" s="0" t="s">
        <v>17</v>
      </c>
      <c r="B95" s="0" t="n">
        <v>6</v>
      </c>
      <c r="C95" s="0" t="s">
        <v>83</v>
      </c>
      <c r="D95" s="0" t="s">
        <v>28</v>
      </c>
      <c r="E95" s="0" t="s">
        <v>26</v>
      </c>
      <c r="F95" s="2" t="n">
        <v>287</v>
      </c>
      <c r="G95" s="2" t="n">
        <v>212</v>
      </c>
      <c r="H95" s="2" t="n">
        <v>394</v>
      </c>
      <c r="I95" s="2" t="n">
        <v>249</v>
      </c>
      <c r="J95" s="3" t="s">
        <v>77</v>
      </c>
      <c r="K95" s="0" t="n">
        <v>19</v>
      </c>
      <c r="L95" s="3" t="s">
        <v>22</v>
      </c>
      <c r="M95" s="3" t="s">
        <v>23</v>
      </c>
      <c r="N95" s="2" t="n">
        <v>257.69</v>
      </c>
      <c r="O95" s="4" t="n">
        <v>-0.10212543554007</v>
      </c>
      <c r="P95" s="2" t="n">
        <f aca="false">IF(M95="YES",G95*(1-Assumptions!$B$1-Assumptions!$B$2)/((1+Assumptions!$B$3)*(1+Assumptions!$B$4)),"")</f>
        <v>148.063492063492</v>
      </c>
      <c r="Q95" s="2" t="n">
        <f aca="false">IF(M95="YES",G95*(1-Assumptions!$B$1-Assumptions!$B$2)/((1+Assumptions!$B$3)*(1+Assumptions!$B$5)),"")</f>
        <v>124.373333333333</v>
      </c>
    </row>
    <row r="96" customFormat="false" ht="15" hidden="false" customHeight="false" outlineLevel="0" collapsed="false">
      <c r="A96" s="0" t="s">
        <v>17</v>
      </c>
      <c r="B96" s="0" t="n">
        <v>7</v>
      </c>
      <c r="C96" s="0" t="s">
        <v>86</v>
      </c>
      <c r="D96" s="0" t="s">
        <v>19</v>
      </c>
      <c r="E96" s="0" t="s">
        <v>20</v>
      </c>
      <c r="F96" s="2" t="n">
        <v>4947</v>
      </c>
      <c r="G96" s="2" t="n">
        <v>3831</v>
      </c>
      <c r="H96" s="2" t="n">
        <v>8412</v>
      </c>
      <c r="I96" s="2" t="n">
        <v>6767</v>
      </c>
      <c r="J96" s="3" t="s">
        <v>38</v>
      </c>
      <c r="K96" s="0" t="n">
        <v>7</v>
      </c>
      <c r="L96" s="3" t="s">
        <v>22</v>
      </c>
      <c r="M96" s="3" t="s">
        <v>23</v>
      </c>
      <c r="N96" s="2" t="n">
        <v>7684.42</v>
      </c>
      <c r="O96" s="4" t="n">
        <v>0.553349504750354</v>
      </c>
      <c r="P96" s="2" t="n">
        <f aca="false">IF(M96="YES",G96*(1-Assumptions!$B$1-Assumptions!$B$2)/((1+Assumptions!$B$3)*(1+Assumptions!$B$4)),"")</f>
        <v>2675.61904761905</v>
      </c>
      <c r="Q96" s="2" t="n">
        <f aca="false">IF(M96="YES",G96*(1-Assumptions!$B$1-Assumptions!$B$2)/((1+Assumptions!$B$3)*(1+Assumptions!$B$5)),"")</f>
        <v>2247.52</v>
      </c>
    </row>
    <row r="97" customFormat="false" ht="15" hidden="false" customHeight="false" outlineLevel="0" collapsed="false">
      <c r="A97" s="0" t="s">
        <v>17</v>
      </c>
      <c r="B97" s="0" t="n">
        <v>7</v>
      </c>
      <c r="C97" s="0" t="s">
        <v>86</v>
      </c>
      <c r="D97" s="0" t="s">
        <v>19</v>
      </c>
      <c r="E97" s="0" t="s">
        <v>24</v>
      </c>
      <c r="F97" s="2" t="n">
        <v>103</v>
      </c>
      <c r="G97" s="2" t="n">
        <v>81</v>
      </c>
      <c r="H97" s="2" t="n">
        <v>137</v>
      </c>
      <c r="I97" s="2" t="n">
        <v>109</v>
      </c>
      <c r="J97" s="3" t="s">
        <v>49</v>
      </c>
      <c r="K97" s="0" t="n">
        <v>26</v>
      </c>
      <c r="L97" s="3" t="s">
        <v>22</v>
      </c>
      <c r="M97" s="3" t="s">
        <v>23</v>
      </c>
      <c r="N97" s="2" t="n">
        <v>104.57</v>
      </c>
      <c r="O97" s="4" t="n">
        <v>0.0152427184466019</v>
      </c>
      <c r="P97" s="2" t="n">
        <f aca="false">IF(M97="YES",G97*(1-Assumptions!$B$1-Assumptions!$B$2)/((1+Assumptions!$B$3)*(1+Assumptions!$B$4)),"")</f>
        <v>56.5714285714286</v>
      </c>
      <c r="Q97" s="2" t="n">
        <f aca="false">IF(M97="YES",G97*(1-Assumptions!$B$1-Assumptions!$B$2)/((1+Assumptions!$B$3)*(1+Assumptions!$B$5)),"")</f>
        <v>47.52</v>
      </c>
    </row>
    <row r="98" customFormat="false" ht="15" hidden="false" customHeight="false" outlineLevel="0" collapsed="false">
      <c r="A98" s="0" t="s">
        <v>17</v>
      </c>
      <c r="B98" s="0" t="n">
        <v>7</v>
      </c>
      <c r="C98" s="0" t="s">
        <v>86</v>
      </c>
      <c r="D98" s="0" t="s">
        <v>19</v>
      </c>
      <c r="E98" s="0" t="s">
        <v>26</v>
      </c>
      <c r="F98" s="2" t="n">
        <v>222</v>
      </c>
      <c r="G98" s="2" t="n">
        <v>163</v>
      </c>
      <c r="H98" s="2" t="n">
        <v>304</v>
      </c>
      <c r="I98" s="2" t="n">
        <v>225</v>
      </c>
      <c r="J98" s="3" t="s">
        <v>41</v>
      </c>
      <c r="K98" s="0" t="n">
        <v>19</v>
      </c>
      <c r="L98" s="3" t="s">
        <v>22</v>
      </c>
      <c r="M98" s="3" t="s">
        <v>23</v>
      </c>
      <c r="N98" s="2" t="n">
        <v>209.43</v>
      </c>
      <c r="O98" s="4" t="n">
        <v>-0.0566216216216215</v>
      </c>
      <c r="P98" s="2" t="n">
        <f aca="false">IF(M98="YES",G98*(1-Assumptions!$B$1-Assumptions!$B$2)/((1+Assumptions!$B$3)*(1+Assumptions!$B$4)),"")</f>
        <v>113.84126984127</v>
      </c>
      <c r="Q98" s="2" t="n">
        <f aca="false">IF(M98="YES",G98*(1-Assumptions!$B$1-Assumptions!$B$2)/((1+Assumptions!$B$3)*(1+Assumptions!$B$5)),"")</f>
        <v>95.6266666666667</v>
      </c>
    </row>
    <row r="99" customFormat="false" ht="15" hidden="false" customHeight="false" outlineLevel="0" collapsed="false">
      <c r="A99" s="0" t="s">
        <v>17</v>
      </c>
      <c r="B99" s="0" t="n">
        <v>7</v>
      </c>
      <c r="C99" s="0" t="s">
        <v>86</v>
      </c>
      <c r="D99" s="0" t="s">
        <v>28</v>
      </c>
      <c r="E99" s="0" t="s">
        <v>20</v>
      </c>
      <c r="F99" s="2" t="n">
        <v>519</v>
      </c>
      <c r="G99" s="2" t="n">
        <v>393</v>
      </c>
      <c r="H99" s="2" t="n">
        <v>1887</v>
      </c>
      <c r="I99" s="2" t="n">
        <v>350</v>
      </c>
      <c r="J99" s="3" t="s">
        <v>87</v>
      </c>
      <c r="K99" s="0" t="n">
        <v>0</v>
      </c>
      <c r="L99" s="3" t="s">
        <v>30</v>
      </c>
      <c r="M99" s="3" t="s">
        <v>31</v>
      </c>
      <c r="N99" s="2" t="n">
        <v>340</v>
      </c>
      <c r="O99" s="4" t="n">
        <v>-0.344894026974952</v>
      </c>
      <c r="P99" s="2" t="str">
        <f aca="false">IF(M99="YES",G99*(1-Assumptions!$B$1-Assumptions!$B$2)/((1+Assumptions!$B$3)*(1+Assumptions!$B$4)),"")</f>
        <v/>
      </c>
      <c r="Q99" s="2" t="str">
        <f aca="false">IF(M99="YES",G99*(1-Assumptions!$B$1-Assumptions!$B$2)/((1+Assumptions!$B$3)*(1+Assumptions!$B$5)),"")</f>
        <v/>
      </c>
    </row>
    <row r="100" customFormat="false" ht="15" hidden="false" customHeight="false" outlineLevel="0" collapsed="false">
      <c r="A100" s="0" t="s">
        <v>17</v>
      </c>
      <c r="B100" s="0" t="n">
        <v>7</v>
      </c>
      <c r="C100" s="0" t="s">
        <v>86</v>
      </c>
      <c r="D100" s="0" t="s">
        <v>28</v>
      </c>
      <c r="E100" s="0" t="s">
        <v>24</v>
      </c>
      <c r="F100" s="2" t="n">
        <v>37</v>
      </c>
      <c r="G100" s="2" t="n">
        <v>29</v>
      </c>
      <c r="H100" s="2" t="n">
        <v>49</v>
      </c>
      <c r="I100" s="2" t="n">
        <v>30</v>
      </c>
      <c r="J100" s="3" t="s">
        <v>42</v>
      </c>
      <c r="K100" s="0" t="n">
        <v>18</v>
      </c>
      <c r="L100" s="3" t="s">
        <v>22</v>
      </c>
      <c r="M100" s="3" t="s">
        <v>23</v>
      </c>
      <c r="N100" s="2" t="n">
        <v>57.65</v>
      </c>
      <c r="O100" s="4" t="n">
        <v>0.558108108108108</v>
      </c>
      <c r="P100" s="2" t="n">
        <f aca="false">IF(M100="YES",G100*(1-Assumptions!$B$1-Assumptions!$B$2)/((1+Assumptions!$B$3)*(1+Assumptions!$B$4)),"")</f>
        <v>20.2539682539683</v>
      </c>
      <c r="Q100" s="2" t="n">
        <f aca="false">IF(M100="YES",G100*(1-Assumptions!$B$1-Assumptions!$B$2)/((1+Assumptions!$B$3)*(1+Assumptions!$B$5)),"")</f>
        <v>17.0133333333333</v>
      </c>
    </row>
    <row r="101" customFormat="false" ht="15" hidden="false" customHeight="false" outlineLevel="0" collapsed="false">
      <c r="A101" s="0" t="s">
        <v>17</v>
      </c>
      <c r="B101" s="0" t="n">
        <v>7</v>
      </c>
      <c r="C101" s="0" t="s">
        <v>86</v>
      </c>
      <c r="D101" s="0" t="s">
        <v>28</v>
      </c>
      <c r="E101" s="0" t="s">
        <v>26</v>
      </c>
      <c r="F101" s="2" t="n">
        <v>49</v>
      </c>
      <c r="G101" s="2" t="n">
        <v>36</v>
      </c>
      <c r="H101" s="2" t="n">
        <v>67</v>
      </c>
      <c r="I101" s="2" t="n">
        <v>52</v>
      </c>
      <c r="J101" s="3" t="s">
        <v>88</v>
      </c>
      <c r="K101" s="0" t="n">
        <v>9</v>
      </c>
      <c r="L101" s="3" t="s">
        <v>22</v>
      </c>
      <c r="M101" s="3" t="s">
        <v>23</v>
      </c>
      <c r="N101" s="2" t="n">
        <v>45.71</v>
      </c>
      <c r="O101" s="4" t="n">
        <v>-0.0671428571428571</v>
      </c>
      <c r="P101" s="2" t="n">
        <f aca="false">IF(M101="YES",G101*(1-Assumptions!$B$1-Assumptions!$B$2)/((1+Assumptions!$B$3)*(1+Assumptions!$B$4)),"")</f>
        <v>25.1428571428571</v>
      </c>
      <c r="Q101" s="2" t="n">
        <f aca="false">IF(M101="YES",G101*(1-Assumptions!$B$1-Assumptions!$B$2)/((1+Assumptions!$B$3)*(1+Assumptions!$B$5)),"")</f>
        <v>21.12</v>
      </c>
    </row>
    <row r="102" customFormat="false" ht="15" hidden="false" customHeight="false" outlineLevel="0" collapsed="false">
      <c r="A102" s="0" t="s">
        <v>17</v>
      </c>
      <c r="B102" s="0" t="n">
        <v>8</v>
      </c>
      <c r="C102" s="0" t="s">
        <v>89</v>
      </c>
      <c r="D102" s="0" t="s">
        <v>19</v>
      </c>
      <c r="E102" s="0" t="s">
        <v>20</v>
      </c>
      <c r="F102" s="2" t="n">
        <v>4656</v>
      </c>
      <c r="G102" s="2" t="n">
        <v>3606</v>
      </c>
      <c r="H102" s="2" t="n">
        <v>7918</v>
      </c>
      <c r="I102" s="2" t="n">
        <v>5000</v>
      </c>
      <c r="J102" s="3" t="s">
        <v>57</v>
      </c>
      <c r="K102" s="0" t="n">
        <v>8</v>
      </c>
      <c r="L102" s="3" t="s">
        <v>22</v>
      </c>
      <c r="M102" s="3" t="s">
        <v>23</v>
      </c>
      <c r="N102" s="2" t="n">
        <v>4311.71</v>
      </c>
      <c r="O102" s="4" t="n">
        <v>-0.0739454467353951</v>
      </c>
      <c r="P102" s="2" t="n">
        <f aca="false">IF(M102="YES",G102*(1-Assumptions!$B$1-Assumptions!$B$2)/((1+Assumptions!$B$3)*(1+Assumptions!$B$4)),"")</f>
        <v>2518.47619047619</v>
      </c>
      <c r="Q102" s="2" t="n">
        <f aca="false">IF(M102="YES",G102*(1-Assumptions!$B$1-Assumptions!$B$2)/((1+Assumptions!$B$3)*(1+Assumptions!$B$5)),"")</f>
        <v>2115.52</v>
      </c>
    </row>
    <row r="103" customFormat="false" ht="15" hidden="false" customHeight="false" outlineLevel="0" collapsed="false">
      <c r="A103" s="0" t="s">
        <v>17</v>
      </c>
      <c r="B103" s="0" t="n">
        <v>8</v>
      </c>
      <c r="C103" s="0" t="s">
        <v>89</v>
      </c>
      <c r="D103" s="0" t="s">
        <v>19</v>
      </c>
      <c r="E103" s="0" t="s">
        <v>24</v>
      </c>
      <c r="F103" s="2" t="n">
        <v>156</v>
      </c>
      <c r="G103" s="2" t="n">
        <v>124</v>
      </c>
      <c r="H103" s="2" t="n">
        <v>209</v>
      </c>
      <c r="I103" s="2" t="n">
        <v>200</v>
      </c>
      <c r="J103" s="3" t="s">
        <v>46</v>
      </c>
      <c r="K103" s="0" t="n">
        <v>26</v>
      </c>
      <c r="L103" s="3" t="s">
        <v>22</v>
      </c>
      <c r="M103" s="3" t="s">
        <v>23</v>
      </c>
      <c r="N103" s="2" t="n">
        <v>169.14</v>
      </c>
      <c r="O103" s="4" t="n">
        <v>0.0842307692307691</v>
      </c>
      <c r="P103" s="2" t="n">
        <f aca="false">IF(M103="YES",G103*(1-Assumptions!$B$1-Assumptions!$B$2)/((1+Assumptions!$B$3)*(1+Assumptions!$B$4)),"")</f>
        <v>86.6031746031746</v>
      </c>
      <c r="Q103" s="2" t="n">
        <f aca="false">IF(M103="YES",G103*(1-Assumptions!$B$1-Assumptions!$B$2)/((1+Assumptions!$B$3)*(1+Assumptions!$B$5)),"")</f>
        <v>72.7466666666667</v>
      </c>
    </row>
    <row r="104" customFormat="false" ht="15" hidden="false" customHeight="false" outlineLevel="0" collapsed="false">
      <c r="A104" s="0" t="s">
        <v>17</v>
      </c>
      <c r="B104" s="0" t="n">
        <v>8</v>
      </c>
      <c r="C104" s="0" t="s">
        <v>89</v>
      </c>
      <c r="D104" s="0" t="s">
        <v>19</v>
      </c>
      <c r="E104" s="0" t="s">
        <v>26</v>
      </c>
      <c r="F104" s="2" t="n">
        <v>340</v>
      </c>
      <c r="G104" s="2" t="n">
        <v>250</v>
      </c>
      <c r="H104" s="2" t="n">
        <v>466</v>
      </c>
      <c r="I104" s="2" t="n">
        <v>355</v>
      </c>
      <c r="J104" s="3" t="s">
        <v>35</v>
      </c>
      <c r="K104" s="0" t="n">
        <v>22</v>
      </c>
      <c r="L104" s="3" t="s">
        <v>22</v>
      </c>
      <c r="M104" s="3" t="s">
        <v>23</v>
      </c>
      <c r="N104" s="2" t="n">
        <v>349.38</v>
      </c>
      <c r="O104" s="4" t="n">
        <v>0.0275882352941176</v>
      </c>
      <c r="P104" s="2" t="n">
        <f aca="false">IF(M104="YES",G104*(1-Assumptions!$B$1-Assumptions!$B$2)/((1+Assumptions!$B$3)*(1+Assumptions!$B$4)),"")</f>
        <v>174.603174603175</v>
      </c>
      <c r="Q104" s="2" t="n">
        <f aca="false">IF(M104="YES",G104*(1-Assumptions!$B$1-Assumptions!$B$2)/((1+Assumptions!$B$3)*(1+Assumptions!$B$5)),"")</f>
        <v>146.666666666667</v>
      </c>
    </row>
    <row r="105" customFormat="false" ht="15" hidden="false" customHeight="false" outlineLevel="0" collapsed="false">
      <c r="A105" s="0" t="s">
        <v>17</v>
      </c>
      <c r="B105" s="0" t="n">
        <v>8</v>
      </c>
      <c r="C105" s="0" t="s">
        <v>89</v>
      </c>
      <c r="D105" s="0" t="s">
        <v>28</v>
      </c>
      <c r="E105" s="0" t="s">
        <v>20</v>
      </c>
      <c r="F105" s="2" t="n">
        <v>1678</v>
      </c>
      <c r="G105" s="2" t="n">
        <v>1271</v>
      </c>
      <c r="H105" s="2" t="n">
        <v>6103</v>
      </c>
      <c r="I105" s="2" t="n">
        <v>2000</v>
      </c>
      <c r="J105" s="3" t="s">
        <v>90</v>
      </c>
      <c r="K105" s="0" t="n">
        <v>1</v>
      </c>
      <c r="L105" s="3" t="s">
        <v>30</v>
      </c>
      <c r="M105" s="3" t="s">
        <v>31</v>
      </c>
      <c r="N105" s="2" t="n">
        <v>1596.05</v>
      </c>
      <c r="O105" s="4" t="n">
        <v>-0.0488379022646007</v>
      </c>
      <c r="P105" s="2" t="str">
        <f aca="false">IF(M105="YES",G105*(1-Assumptions!$B$1-Assumptions!$B$2)/((1+Assumptions!$B$3)*(1+Assumptions!$B$4)),"")</f>
        <v/>
      </c>
      <c r="Q105" s="2" t="str">
        <f aca="false">IF(M105="YES",G105*(1-Assumptions!$B$1-Assumptions!$B$2)/((1+Assumptions!$B$3)*(1+Assumptions!$B$5)),"")</f>
        <v/>
      </c>
    </row>
    <row r="106" customFormat="false" ht="15" hidden="false" customHeight="false" outlineLevel="0" collapsed="false">
      <c r="A106" s="0" t="s">
        <v>17</v>
      </c>
      <c r="B106" s="0" t="n">
        <v>8</v>
      </c>
      <c r="C106" s="0" t="s">
        <v>89</v>
      </c>
      <c r="D106" s="0" t="s">
        <v>28</v>
      </c>
      <c r="E106" s="0" t="s">
        <v>24</v>
      </c>
      <c r="F106" s="2" t="n">
        <v>57</v>
      </c>
      <c r="G106" s="2" t="n">
        <v>45</v>
      </c>
      <c r="H106" s="2" t="n">
        <v>77</v>
      </c>
      <c r="I106" s="2" t="n">
        <v>55</v>
      </c>
      <c r="J106" s="3" t="s">
        <v>27</v>
      </c>
      <c r="K106" s="0" t="n">
        <v>19</v>
      </c>
      <c r="L106" s="3" t="s">
        <v>22</v>
      </c>
      <c r="M106" s="3" t="s">
        <v>23</v>
      </c>
      <c r="N106" s="2" t="n">
        <v>58.51</v>
      </c>
      <c r="O106" s="4" t="n">
        <v>0.0264912280701754</v>
      </c>
      <c r="P106" s="2" t="n">
        <f aca="false">IF(M106="YES",G106*(1-Assumptions!$B$1-Assumptions!$B$2)/((1+Assumptions!$B$3)*(1+Assumptions!$B$4)),"")</f>
        <v>31.4285714285714</v>
      </c>
      <c r="Q106" s="2" t="n">
        <f aca="false">IF(M106="YES",G106*(1-Assumptions!$B$1-Assumptions!$B$2)/((1+Assumptions!$B$3)*(1+Assumptions!$B$5)),"")</f>
        <v>26.4</v>
      </c>
    </row>
    <row r="107" customFormat="false" ht="15" hidden="false" customHeight="false" outlineLevel="0" collapsed="false">
      <c r="A107" s="0" t="s">
        <v>17</v>
      </c>
      <c r="B107" s="0" t="n">
        <v>8</v>
      </c>
      <c r="C107" s="0" t="s">
        <v>89</v>
      </c>
      <c r="D107" s="0" t="s">
        <v>28</v>
      </c>
      <c r="E107" s="0" t="s">
        <v>26</v>
      </c>
      <c r="F107" s="2" t="n">
        <v>214</v>
      </c>
      <c r="G107" s="2" t="n">
        <v>158</v>
      </c>
      <c r="H107" s="2" t="n">
        <v>294</v>
      </c>
      <c r="I107" s="2" t="n">
        <v>300</v>
      </c>
      <c r="J107" s="3" t="s">
        <v>41</v>
      </c>
      <c r="K107" s="0" t="n">
        <v>20</v>
      </c>
      <c r="L107" s="3" t="s">
        <v>22</v>
      </c>
      <c r="M107" s="3" t="s">
        <v>23</v>
      </c>
      <c r="N107" s="2" t="n">
        <v>167.06</v>
      </c>
      <c r="O107" s="4" t="n">
        <v>-0.219345794392523</v>
      </c>
      <c r="P107" s="2" t="n">
        <f aca="false">IF(M107="YES",G107*(1-Assumptions!$B$1-Assumptions!$B$2)/((1+Assumptions!$B$3)*(1+Assumptions!$B$4)),"")</f>
        <v>110.349206349206</v>
      </c>
      <c r="Q107" s="2" t="n">
        <f aca="false">IF(M107="YES",G107*(1-Assumptions!$B$1-Assumptions!$B$2)/((1+Assumptions!$B$3)*(1+Assumptions!$B$5)),"")</f>
        <v>92.6933333333333</v>
      </c>
    </row>
    <row r="108" customFormat="false" ht="15" hidden="false" customHeight="false" outlineLevel="0" collapsed="false">
      <c r="A108" s="0" t="s">
        <v>17</v>
      </c>
      <c r="B108" s="0" t="n">
        <v>9</v>
      </c>
      <c r="C108" s="0" t="s">
        <v>91</v>
      </c>
      <c r="D108" s="0" t="s">
        <v>19</v>
      </c>
      <c r="E108" s="0" t="s">
        <v>24</v>
      </c>
      <c r="F108" s="2" t="n">
        <v>6151</v>
      </c>
      <c r="G108" s="2" t="n">
        <v>4869</v>
      </c>
      <c r="H108" s="2" t="n">
        <v>8242</v>
      </c>
      <c r="I108" s="2" t="n">
        <v>6600</v>
      </c>
      <c r="J108" s="3" t="s">
        <v>32</v>
      </c>
      <c r="K108" s="0" t="n">
        <v>18</v>
      </c>
      <c r="L108" s="3" t="s">
        <v>22</v>
      </c>
      <c r="M108" s="3" t="s">
        <v>23</v>
      </c>
      <c r="N108" s="2" t="n">
        <v>6155.65</v>
      </c>
      <c r="O108" s="4" t="n">
        <v>0.0007559746382701</v>
      </c>
      <c r="P108" s="2" t="n">
        <f aca="false">IF(M108="YES",G108*(1-Assumptions!$B$1-Assumptions!$B$2)/((1+Assumptions!$B$3)*(1+Assumptions!$B$4)),"")</f>
        <v>3400.57142857143</v>
      </c>
      <c r="Q108" s="2" t="n">
        <f aca="false">IF(M108="YES",G108*(1-Assumptions!$B$1-Assumptions!$B$2)/((1+Assumptions!$B$3)*(1+Assumptions!$B$5)),"")</f>
        <v>2856.48</v>
      </c>
    </row>
    <row r="109" customFormat="false" ht="15" hidden="false" customHeight="false" outlineLevel="0" collapsed="false">
      <c r="A109" s="0" t="s">
        <v>17</v>
      </c>
      <c r="B109" s="0" t="n">
        <v>9</v>
      </c>
      <c r="C109" s="0" t="s">
        <v>91</v>
      </c>
      <c r="D109" s="0" t="s">
        <v>19</v>
      </c>
      <c r="E109" s="0" t="s">
        <v>26</v>
      </c>
      <c r="F109" s="2" t="n">
        <v>17172</v>
      </c>
      <c r="G109" s="2" t="n">
        <v>12647</v>
      </c>
      <c r="H109" s="2" t="n">
        <v>23545</v>
      </c>
      <c r="I109" s="2" t="n">
        <v>19450</v>
      </c>
      <c r="J109" s="3" t="s">
        <v>55</v>
      </c>
      <c r="K109" s="0" t="n">
        <v>9</v>
      </c>
      <c r="L109" s="3" t="s">
        <v>22</v>
      </c>
      <c r="M109" s="3" t="s">
        <v>23</v>
      </c>
      <c r="N109" s="2" t="n">
        <v>18487.19</v>
      </c>
      <c r="O109" s="4" t="n">
        <v>0.0765892150011646</v>
      </c>
      <c r="P109" s="2" t="n">
        <f aca="false">IF(M109="YES",G109*(1-Assumptions!$B$1-Assumptions!$B$2)/((1+Assumptions!$B$3)*(1+Assumptions!$B$4)),"")</f>
        <v>8832.8253968254</v>
      </c>
      <c r="Q109" s="2" t="n">
        <f aca="false">IF(M109="YES",G109*(1-Assumptions!$B$1-Assumptions!$B$2)/((1+Assumptions!$B$3)*(1+Assumptions!$B$5)),"")</f>
        <v>7419.57333333333</v>
      </c>
    </row>
    <row r="110" customFormat="false" ht="15" hidden="false" customHeight="false" outlineLevel="0" collapsed="false">
      <c r="A110" s="0" t="s">
        <v>17</v>
      </c>
      <c r="B110" s="0" t="n">
        <v>9</v>
      </c>
      <c r="C110" s="0" t="s">
        <v>91</v>
      </c>
      <c r="D110" s="0" t="s">
        <v>28</v>
      </c>
      <c r="E110" s="0" t="s">
        <v>24</v>
      </c>
      <c r="F110" s="2" t="n">
        <v>1243</v>
      </c>
      <c r="G110" s="2" t="n">
        <v>984</v>
      </c>
      <c r="H110" s="2" t="n">
        <v>1666</v>
      </c>
      <c r="I110" s="2" t="n">
        <v>1500</v>
      </c>
      <c r="J110" s="3" t="s">
        <v>42</v>
      </c>
      <c r="K110" s="0" t="n">
        <v>20</v>
      </c>
      <c r="L110" s="3" t="s">
        <v>22</v>
      </c>
      <c r="M110" s="3" t="s">
        <v>23</v>
      </c>
      <c r="N110" s="2" t="n">
        <v>1170.96</v>
      </c>
      <c r="O110" s="4" t="n">
        <v>-0.0579565567176186</v>
      </c>
      <c r="P110" s="2" t="n">
        <f aca="false">IF(M110="YES",G110*(1-Assumptions!$B$1-Assumptions!$B$2)/((1+Assumptions!$B$3)*(1+Assumptions!$B$4)),"")</f>
        <v>687.238095238095</v>
      </c>
      <c r="Q110" s="2" t="n">
        <f aca="false">IF(M110="YES",G110*(1-Assumptions!$B$1-Assumptions!$B$2)/((1+Assumptions!$B$3)*(1+Assumptions!$B$5)),"")</f>
        <v>577.28</v>
      </c>
    </row>
    <row r="111" customFormat="false" ht="15" hidden="false" customHeight="false" outlineLevel="0" collapsed="false">
      <c r="A111" s="0" t="s">
        <v>17</v>
      </c>
      <c r="B111" s="0" t="n">
        <v>9</v>
      </c>
      <c r="C111" s="0" t="s">
        <v>91</v>
      </c>
      <c r="D111" s="0" t="s">
        <v>28</v>
      </c>
      <c r="E111" s="0" t="s">
        <v>26</v>
      </c>
      <c r="F111" s="2" t="n">
        <v>2804</v>
      </c>
      <c r="G111" s="2" t="n">
        <v>2065</v>
      </c>
      <c r="H111" s="2" t="n">
        <v>3845</v>
      </c>
      <c r="I111" s="2" t="n">
        <v>2750</v>
      </c>
      <c r="J111" s="3" t="s">
        <v>92</v>
      </c>
      <c r="K111" s="0" t="n">
        <v>12</v>
      </c>
      <c r="L111" s="3" t="s">
        <v>22</v>
      </c>
      <c r="M111" s="3" t="s">
        <v>23</v>
      </c>
      <c r="N111" s="2" t="n">
        <v>3266.68</v>
      </c>
      <c r="O111" s="4" t="n">
        <v>0.165007132667618</v>
      </c>
      <c r="P111" s="2" t="n">
        <f aca="false">IF(M111="YES",G111*(1-Assumptions!$B$1-Assumptions!$B$2)/((1+Assumptions!$B$3)*(1+Assumptions!$B$4)),"")</f>
        <v>1442.22222222222</v>
      </c>
      <c r="Q111" s="2" t="n">
        <f aca="false">IF(M111="YES",G111*(1-Assumptions!$B$1-Assumptions!$B$2)/((1+Assumptions!$B$3)*(1+Assumptions!$B$5)),"")</f>
        <v>1211.46666666667</v>
      </c>
    </row>
    <row r="112" customFormat="false" ht="15" hidden="false" customHeight="false" outlineLevel="0" collapsed="false">
      <c r="A112" s="0" t="s">
        <v>93</v>
      </c>
      <c r="B112" s="0" t="n">
        <v>10</v>
      </c>
      <c r="C112" s="0" t="s">
        <v>94</v>
      </c>
      <c r="D112" s="0" t="s">
        <v>19</v>
      </c>
      <c r="E112" s="0" t="s">
        <v>20</v>
      </c>
      <c r="F112" s="2" t="n">
        <v>3800</v>
      </c>
      <c r="G112" s="2" t="n">
        <v>2943</v>
      </c>
      <c r="H112" s="2" t="n">
        <v>6462</v>
      </c>
      <c r="I112" s="2" t="n">
        <v>4000</v>
      </c>
      <c r="J112" s="3" t="s">
        <v>60</v>
      </c>
      <c r="K112" s="0" t="n">
        <v>26</v>
      </c>
      <c r="L112" s="3" t="s">
        <v>22</v>
      </c>
      <c r="M112" s="3" t="s">
        <v>23</v>
      </c>
      <c r="N112" s="2" t="n">
        <v>3564.63</v>
      </c>
      <c r="O112" s="4" t="n">
        <v>-0.0619394736842104</v>
      </c>
      <c r="P112" s="2" t="n">
        <f aca="false">IF(M112="YES",G112*(1-Assumptions!$B$1-Assumptions!$B$2)/((1+Assumptions!$B$3)*(1+Assumptions!$B$4)),"")</f>
        <v>2055.42857142857</v>
      </c>
      <c r="Q112" s="2" t="n">
        <f aca="false">IF(M112="YES",G112*(1-Assumptions!$B$1-Assumptions!$B$2)/((1+Assumptions!$B$3)*(1+Assumptions!$B$5)),"")</f>
        <v>1726.56</v>
      </c>
    </row>
    <row r="113" customFormat="false" ht="15" hidden="false" customHeight="false" outlineLevel="0" collapsed="false">
      <c r="A113" s="0" t="s">
        <v>93</v>
      </c>
      <c r="B113" s="0" t="n">
        <v>10</v>
      </c>
      <c r="C113" s="0" t="s">
        <v>94</v>
      </c>
      <c r="D113" s="0" t="s">
        <v>19</v>
      </c>
      <c r="E113" s="0" t="s">
        <v>24</v>
      </c>
      <c r="F113" s="2" t="n">
        <v>185</v>
      </c>
      <c r="G113" s="2" t="n">
        <v>146</v>
      </c>
      <c r="H113" s="2" t="n">
        <v>248</v>
      </c>
      <c r="I113" s="2" t="n">
        <v>250</v>
      </c>
      <c r="J113" s="3" t="s">
        <v>25</v>
      </c>
      <c r="K113" s="0" t="n">
        <v>15</v>
      </c>
      <c r="L113" s="3" t="s">
        <v>22</v>
      </c>
      <c r="M113" s="3" t="s">
        <v>23</v>
      </c>
      <c r="N113" s="2" t="n">
        <v>210.88</v>
      </c>
      <c r="O113" s="4" t="n">
        <v>0.139891891891892</v>
      </c>
      <c r="P113" s="2" t="n">
        <f aca="false">IF(M113="YES",G113*(1-Assumptions!$B$1-Assumptions!$B$2)/((1+Assumptions!$B$3)*(1+Assumptions!$B$4)),"")</f>
        <v>101.968253968254</v>
      </c>
      <c r="Q113" s="2" t="n">
        <f aca="false">IF(M113="YES",G113*(1-Assumptions!$B$1-Assumptions!$B$2)/((1+Assumptions!$B$3)*(1+Assumptions!$B$5)),"")</f>
        <v>85.6533333333333</v>
      </c>
    </row>
    <row r="114" customFormat="false" ht="15" hidden="false" customHeight="false" outlineLevel="0" collapsed="false">
      <c r="A114" s="0" t="s">
        <v>93</v>
      </c>
      <c r="B114" s="0" t="n">
        <v>10</v>
      </c>
      <c r="C114" s="0" t="s">
        <v>94</v>
      </c>
      <c r="D114" s="0" t="s">
        <v>19</v>
      </c>
      <c r="E114" s="0" t="s">
        <v>26</v>
      </c>
      <c r="F114" s="2" t="n">
        <v>312</v>
      </c>
      <c r="G114" s="2" t="n">
        <v>230</v>
      </c>
      <c r="H114" s="2" t="n">
        <v>428</v>
      </c>
      <c r="I114" s="2" t="n">
        <v>275</v>
      </c>
      <c r="J114" s="3" t="s">
        <v>49</v>
      </c>
      <c r="K114" s="0" t="n">
        <v>18</v>
      </c>
      <c r="L114" s="3" t="s">
        <v>22</v>
      </c>
      <c r="M114" s="3" t="s">
        <v>23</v>
      </c>
      <c r="N114" s="2" t="n">
        <v>357.06</v>
      </c>
      <c r="O114" s="4" t="n">
        <v>0.144423076923077</v>
      </c>
      <c r="P114" s="2" t="n">
        <f aca="false">IF(M114="YES",G114*(1-Assumptions!$B$1-Assumptions!$B$2)/((1+Assumptions!$B$3)*(1+Assumptions!$B$4)),"")</f>
        <v>160.634920634921</v>
      </c>
      <c r="Q114" s="2" t="n">
        <f aca="false">IF(M114="YES",G114*(1-Assumptions!$B$1-Assumptions!$B$2)/((1+Assumptions!$B$3)*(1+Assumptions!$B$5)),"")</f>
        <v>134.933333333333</v>
      </c>
    </row>
    <row r="115" customFormat="false" ht="15" hidden="false" customHeight="false" outlineLevel="0" collapsed="false">
      <c r="A115" s="0" t="s">
        <v>93</v>
      </c>
      <c r="B115" s="0" t="n">
        <v>10</v>
      </c>
      <c r="C115" s="0" t="s">
        <v>94</v>
      </c>
      <c r="D115" s="0" t="s">
        <v>28</v>
      </c>
      <c r="E115" s="0" t="s">
        <v>20</v>
      </c>
      <c r="F115" s="2" t="n">
        <v>2852</v>
      </c>
      <c r="G115" s="2" t="n">
        <v>2209</v>
      </c>
      <c r="H115" s="2" t="n">
        <v>4850</v>
      </c>
      <c r="I115" s="2" t="n">
        <v>3240</v>
      </c>
      <c r="J115" s="3" t="s">
        <v>95</v>
      </c>
      <c r="K115" s="0" t="n">
        <v>3</v>
      </c>
      <c r="L115" s="3" t="s">
        <v>22</v>
      </c>
      <c r="M115" s="3" t="s">
        <v>23</v>
      </c>
      <c r="N115" s="2" t="n">
        <v>3240</v>
      </c>
      <c r="O115" s="4" t="n">
        <v>0.136044880785414</v>
      </c>
      <c r="P115" s="2" t="n">
        <f aca="false">IF(M115="YES",G115*(1-Assumptions!$B$1-Assumptions!$B$2)/((1+Assumptions!$B$3)*(1+Assumptions!$B$4)),"")</f>
        <v>1542.79365079365</v>
      </c>
      <c r="Q115" s="2" t="n">
        <f aca="false">IF(M115="YES",G115*(1-Assumptions!$B$1-Assumptions!$B$2)/((1+Assumptions!$B$3)*(1+Assumptions!$B$5)),"")</f>
        <v>1295.94666666667</v>
      </c>
    </row>
    <row r="116" customFormat="false" ht="15" hidden="false" customHeight="false" outlineLevel="0" collapsed="false">
      <c r="A116" s="0" t="s">
        <v>93</v>
      </c>
      <c r="B116" s="0" t="n">
        <v>10</v>
      </c>
      <c r="C116" s="0" t="s">
        <v>94</v>
      </c>
      <c r="D116" s="0" t="s">
        <v>28</v>
      </c>
      <c r="E116" s="0" t="s">
        <v>24</v>
      </c>
      <c r="F116" s="2" t="n">
        <v>96</v>
      </c>
      <c r="G116" s="2" t="n">
        <v>76</v>
      </c>
      <c r="H116" s="2" t="n">
        <v>128</v>
      </c>
      <c r="I116" s="2" t="n">
        <v>91</v>
      </c>
      <c r="J116" s="3" t="s">
        <v>35</v>
      </c>
      <c r="K116" s="0" t="n">
        <v>14</v>
      </c>
      <c r="L116" s="3" t="s">
        <v>22</v>
      </c>
      <c r="M116" s="3" t="s">
        <v>23</v>
      </c>
      <c r="N116" s="2" t="n">
        <v>96.41</v>
      </c>
      <c r="O116" s="4" t="n">
        <v>0.0042708333333332</v>
      </c>
      <c r="P116" s="2" t="n">
        <f aca="false">IF(M116="YES",G116*(1-Assumptions!$B$1-Assumptions!$B$2)/((1+Assumptions!$B$3)*(1+Assumptions!$B$4)),"")</f>
        <v>53.0793650793651</v>
      </c>
      <c r="Q116" s="2" t="n">
        <f aca="false">IF(M116="YES",G116*(1-Assumptions!$B$1-Assumptions!$B$2)/((1+Assumptions!$B$3)*(1+Assumptions!$B$5)),"")</f>
        <v>44.5866666666667</v>
      </c>
    </row>
    <row r="117" customFormat="false" ht="15" hidden="false" customHeight="false" outlineLevel="0" collapsed="false">
      <c r="A117" s="0" t="s">
        <v>93</v>
      </c>
      <c r="B117" s="0" t="n">
        <v>10</v>
      </c>
      <c r="C117" s="0" t="s">
        <v>94</v>
      </c>
      <c r="D117" s="0" t="s">
        <v>28</v>
      </c>
      <c r="E117" s="0" t="s">
        <v>26</v>
      </c>
      <c r="F117" s="2" t="n">
        <v>180</v>
      </c>
      <c r="G117" s="2" t="n">
        <v>133</v>
      </c>
      <c r="H117" s="2" t="n">
        <v>247</v>
      </c>
      <c r="I117" s="2" t="n">
        <v>175</v>
      </c>
      <c r="J117" s="3" t="s">
        <v>32</v>
      </c>
      <c r="K117" s="0" t="n">
        <v>20</v>
      </c>
      <c r="L117" s="3" t="s">
        <v>22</v>
      </c>
      <c r="M117" s="3" t="s">
        <v>23</v>
      </c>
      <c r="N117" s="2" t="n">
        <v>173.89</v>
      </c>
      <c r="O117" s="4" t="n">
        <v>-0.0339444444444445</v>
      </c>
      <c r="P117" s="2" t="n">
        <f aca="false">IF(M117="YES",G117*(1-Assumptions!$B$1-Assumptions!$B$2)/((1+Assumptions!$B$3)*(1+Assumptions!$B$4)),"")</f>
        <v>92.8888888888889</v>
      </c>
      <c r="Q117" s="2" t="n">
        <f aca="false">IF(M117="YES",G117*(1-Assumptions!$B$1-Assumptions!$B$2)/((1+Assumptions!$B$3)*(1+Assumptions!$B$5)),"")</f>
        <v>78.0266666666667</v>
      </c>
    </row>
    <row r="118" customFormat="false" ht="15" hidden="false" customHeight="false" outlineLevel="0" collapsed="false">
      <c r="A118" s="0" t="s">
        <v>93</v>
      </c>
      <c r="B118" s="0" t="n">
        <v>11</v>
      </c>
      <c r="C118" s="0" t="s">
        <v>96</v>
      </c>
      <c r="D118" s="0" t="s">
        <v>19</v>
      </c>
      <c r="E118" s="0" t="s">
        <v>20</v>
      </c>
      <c r="F118" s="2" t="n">
        <v>24615</v>
      </c>
      <c r="G118" s="2" t="n">
        <v>19063</v>
      </c>
      <c r="H118" s="2" t="n">
        <v>41857</v>
      </c>
      <c r="I118" s="2" t="n">
        <v>36000</v>
      </c>
      <c r="J118" s="3" t="s">
        <v>60</v>
      </c>
      <c r="K118" s="0" t="n">
        <v>7</v>
      </c>
      <c r="L118" s="3" t="s">
        <v>22</v>
      </c>
      <c r="M118" s="3" t="s">
        <v>23</v>
      </c>
      <c r="N118" s="2" t="n">
        <v>8900</v>
      </c>
      <c r="O118" s="4" t="n">
        <v>-0.638431850497664</v>
      </c>
      <c r="P118" s="2" t="n">
        <f aca="false">IF(M118="YES",G118*(1-Assumptions!$B$1-Assumptions!$B$2)/((1+Assumptions!$B$3)*(1+Assumptions!$B$4)),"")</f>
        <v>13313.8412698413</v>
      </c>
      <c r="Q118" s="2" t="n">
        <f aca="false">IF(M118="YES",G118*(1-Assumptions!$B$1-Assumptions!$B$2)/((1+Assumptions!$B$3)*(1+Assumptions!$B$5)),"")</f>
        <v>11183.6266666667</v>
      </c>
    </row>
    <row r="119" customFormat="false" ht="15" hidden="false" customHeight="false" outlineLevel="0" collapsed="false">
      <c r="A119" s="0" t="s">
        <v>93</v>
      </c>
      <c r="B119" s="0" t="n">
        <v>11</v>
      </c>
      <c r="C119" s="0" t="s">
        <v>96</v>
      </c>
      <c r="D119" s="0" t="s">
        <v>19</v>
      </c>
      <c r="E119" s="0" t="s">
        <v>24</v>
      </c>
      <c r="F119" s="2" t="n">
        <v>163</v>
      </c>
      <c r="G119" s="2" t="n">
        <v>129</v>
      </c>
      <c r="H119" s="2" t="n">
        <v>219</v>
      </c>
      <c r="I119" s="2" t="n">
        <v>246</v>
      </c>
      <c r="J119" s="3" t="s">
        <v>25</v>
      </c>
      <c r="K119" s="0" t="n">
        <v>13</v>
      </c>
      <c r="L119" s="3" t="s">
        <v>22</v>
      </c>
      <c r="M119" s="3" t="s">
        <v>23</v>
      </c>
      <c r="N119" s="2" t="n">
        <v>152.27</v>
      </c>
      <c r="O119" s="4" t="n">
        <v>-0.0658282208588956</v>
      </c>
      <c r="P119" s="2" t="n">
        <f aca="false">IF(M119="YES",G119*(1-Assumptions!$B$1-Assumptions!$B$2)/((1+Assumptions!$B$3)*(1+Assumptions!$B$4)),"")</f>
        <v>90.0952380952381</v>
      </c>
      <c r="Q119" s="2" t="n">
        <f aca="false">IF(M119="YES",G119*(1-Assumptions!$B$1-Assumptions!$B$2)/((1+Assumptions!$B$3)*(1+Assumptions!$B$5)),"")</f>
        <v>75.68</v>
      </c>
    </row>
    <row r="120" customFormat="false" ht="15" hidden="false" customHeight="false" outlineLevel="0" collapsed="false">
      <c r="A120" s="0" t="s">
        <v>93</v>
      </c>
      <c r="B120" s="0" t="n">
        <v>11</v>
      </c>
      <c r="C120" s="0" t="s">
        <v>96</v>
      </c>
      <c r="D120" s="0" t="s">
        <v>19</v>
      </c>
      <c r="E120" s="0" t="s">
        <v>26</v>
      </c>
      <c r="F120" s="2" t="n">
        <v>508</v>
      </c>
      <c r="G120" s="2" t="n">
        <v>374</v>
      </c>
      <c r="H120" s="2" t="n">
        <v>697</v>
      </c>
      <c r="I120" s="2" t="n">
        <v>425</v>
      </c>
      <c r="J120" s="3" t="s">
        <v>49</v>
      </c>
      <c r="K120" s="0" t="n">
        <v>15</v>
      </c>
      <c r="L120" s="3" t="s">
        <v>22</v>
      </c>
      <c r="M120" s="3" t="s">
        <v>23</v>
      </c>
      <c r="N120" s="2" t="n">
        <v>511.03</v>
      </c>
      <c r="O120" s="4" t="n">
        <v>0.0059645669291337</v>
      </c>
      <c r="P120" s="2" t="n">
        <f aca="false">IF(M120="YES",G120*(1-Assumptions!$B$1-Assumptions!$B$2)/((1+Assumptions!$B$3)*(1+Assumptions!$B$4)),"")</f>
        <v>261.206349206349</v>
      </c>
      <c r="Q120" s="2" t="n">
        <f aca="false">IF(M120="YES",G120*(1-Assumptions!$B$1-Assumptions!$B$2)/((1+Assumptions!$B$3)*(1+Assumptions!$B$5)),"")</f>
        <v>219.413333333333</v>
      </c>
    </row>
    <row r="121" customFormat="false" ht="15" hidden="false" customHeight="false" outlineLevel="0" collapsed="false">
      <c r="A121" s="0" t="s">
        <v>93</v>
      </c>
      <c r="B121" s="0" t="n">
        <v>11</v>
      </c>
      <c r="C121" s="0" t="s">
        <v>96</v>
      </c>
      <c r="D121" s="0" t="s">
        <v>28</v>
      </c>
      <c r="E121" s="0" t="s">
        <v>24</v>
      </c>
      <c r="F121" s="2" t="n">
        <v>95</v>
      </c>
      <c r="G121" s="2" t="n">
        <v>75</v>
      </c>
      <c r="H121" s="2" t="n">
        <v>128</v>
      </c>
      <c r="I121" s="2" t="n">
        <v>105</v>
      </c>
      <c r="J121" s="3" t="s">
        <v>46</v>
      </c>
      <c r="K121" s="0" t="n">
        <v>19</v>
      </c>
      <c r="L121" s="3" t="s">
        <v>22</v>
      </c>
      <c r="M121" s="3" t="s">
        <v>23</v>
      </c>
      <c r="N121" s="2" t="n">
        <v>116.44</v>
      </c>
      <c r="O121" s="4" t="n">
        <v>0.225684210526316</v>
      </c>
      <c r="P121" s="2" t="n">
        <f aca="false">IF(M121="YES",G121*(1-Assumptions!$B$1-Assumptions!$B$2)/((1+Assumptions!$B$3)*(1+Assumptions!$B$4)),"")</f>
        <v>52.3809523809524</v>
      </c>
      <c r="Q121" s="2" t="n">
        <f aca="false">IF(M121="YES",G121*(1-Assumptions!$B$1-Assumptions!$B$2)/((1+Assumptions!$B$3)*(1+Assumptions!$B$5)),"")</f>
        <v>44</v>
      </c>
    </row>
    <row r="122" customFormat="false" ht="15" hidden="false" customHeight="false" outlineLevel="0" collapsed="false">
      <c r="A122" s="0" t="s">
        <v>93</v>
      </c>
      <c r="B122" s="0" t="n">
        <v>11</v>
      </c>
      <c r="C122" s="0" t="s">
        <v>96</v>
      </c>
      <c r="D122" s="0" t="s">
        <v>28</v>
      </c>
      <c r="E122" s="0" t="s">
        <v>26</v>
      </c>
      <c r="F122" s="2" t="n">
        <v>234</v>
      </c>
      <c r="G122" s="2" t="n">
        <v>172</v>
      </c>
      <c r="H122" s="2" t="n">
        <v>320</v>
      </c>
      <c r="I122" s="2" t="n">
        <v>224</v>
      </c>
      <c r="J122" s="3" t="s">
        <v>49</v>
      </c>
      <c r="K122" s="0" t="n">
        <v>11</v>
      </c>
      <c r="L122" s="3" t="s">
        <v>22</v>
      </c>
      <c r="M122" s="3" t="s">
        <v>23</v>
      </c>
      <c r="N122" s="2" t="n">
        <v>247.31</v>
      </c>
      <c r="O122" s="4" t="n">
        <v>0.0568803418803418</v>
      </c>
      <c r="P122" s="2" t="n">
        <f aca="false">IF(M122="YES",G122*(1-Assumptions!$B$1-Assumptions!$B$2)/((1+Assumptions!$B$3)*(1+Assumptions!$B$4)),"")</f>
        <v>120.126984126984</v>
      </c>
      <c r="Q122" s="2" t="n">
        <f aca="false">IF(M122="YES",G122*(1-Assumptions!$B$1-Assumptions!$B$2)/((1+Assumptions!$B$3)*(1+Assumptions!$B$5)),"")</f>
        <v>100.906666666667</v>
      </c>
    </row>
    <row r="123" customFormat="false" ht="15" hidden="false" customHeight="false" outlineLevel="0" collapsed="false">
      <c r="A123" s="0" t="s">
        <v>93</v>
      </c>
      <c r="B123" s="0" t="n">
        <v>12</v>
      </c>
      <c r="C123" s="0" t="s">
        <v>97</v>
      </c>
      <c r="D123" s="0" t="s">
        <v>19</v>
      </c>
      <c r="E123" s="0" t="s">
        <v>20</v>
      </c>
      <c r="F123" s="2" t="n">
        <v>4313</v>
      </c>
      <c r="G123" s="2" t="n">
        <v>3340</v>
      </c>
      <c r="H123" s="2" t="n">
        <v>7335</v>
      </c>
      <c r="I123" s="2" t="n">
        <v>5000</v>
      </c>
      <c r="J123" s="3" t="s">
        <v>72</v>
      </c>
      <c r="K123" s="0" t="n">
        <v>53</v>
      </c>
      <c r="L123" s="3" t="s">
        <v>22</v>
      </c>
      <c r="M123" s="3" t="s">
        <v>23</v>
      </c>
      <c r="N123" s="2" t="n">
        <v>3592.97</v>
      </c>
      <c r="O123" s="4" t="n">
        <v>-0.166944122420589</v>
      </c>
      <c r="P123" s="2" t="n">
        <f aca="false">IF(M123="YES",G123*(1-Assumptions!$B$1-Assumptions!$B$2)/((1+Assumptions!$B$3)*(1+Assumptions!$B$4)),"")</f>
        <v>2332.69841269841</v>
      </c>
      <c r="Q123" s="2" t="n">
        <f aca="false">IF(M123="YES",G123*(1-Assumptions!$B$1-Assumptions!$B$2)/((1+Assumptions!$B$3)*(1+Assumptions!$B$5)),"")</f>
        <v>1959.46666666667</v>
      </c>
    </row>
    <row r="124" customFormat="false" ht="15" hidden="false" customHeight="false" outlineLevel="0" collapsed="false">
      <c r="A124" s="0" t="s">
        <v>93</v>
      </c>
      <c r="B124" s="0" t="n">
        <v>12</v>
      </c>
      <c r="C124" s="0" t="s">
        <v>97</v>
      </c>
      <c r="D124" s="0" t="s">
        <v>19</v>
      </c>
      <c r="E124" s="0" t="s">
        <v>24</v>
      </c>
      <c r="F124" s="2" t="n">
        <v>194</v>
      </c>
      <c r="G124" s="2" t="n">
        <v>154</v>
      </c>
      <c r="H124" s="2" t="n">
        <v>260</v>
      </c>
      <c r="I124" s="2" t="n">
        <v>199</v>
      </c>
      <c r="J124" s="3" t="s">
        <v>62</v>
      </c>
      <c r="K124" s="0" t="n">
        <v>13</v>
      </c>
      <c r="L124" s="3" t="s">
        <v>22</v>
      </c>
      <c r="M124" s="3" t="s">
        <v>23</v>
      </c>
      <c r="N124" s="2" t="n">
        <v>197.1</v>
      </c>
      <c r="O124" s="4" t="n">
        <v>0.0159793814432989</v>
      </c>
      <c r="P124" s="2" t="n">
        <f aca="false">IF(M124="YES",G124*(1-Assumptions!$B$1-Assumptions!$B$2)/((1+Assumptions!$B$3)*(1+Assumptions!$B$4)),"")</f>
        <v>107.555555555556</v>
      </c>
      <c r="Q124" s="2" t="n">
        <f aca="false">IF(M124="YES",G124*(1-Assumptions!$B$1-Assumptions!$B$2)/((1+Assumptions!$B$3)*(1+Assumptions!$B$5)),"")</f>
        <v>90.3466666666667</v>
      </c>
    </row>
    <row r="125" customFormat="false" ht="15" hidden="false" customHeight="false" outlineLevel="0" collapsed="false">
      <c r="A125" s="0" t="s">
        <v>93</v>
      </c>
      <c r="B125" s="0" t="n">
        <v>12</v>
      </c>
      <c r="C125" s="0" t="s">
        <v>97</v>
      </c>
      <c r="D125" s="0" t="s">
        <v>19</v>
      </c>
      <c r="E125" s="0" t="s">
        <v>26</v>
      </c>
      <c r="F125" s="2" t="n">
        <v>418</v>
      </c>
      <c r="G125" s="2" t="n">
        <v>308</v>
      </c>
      <c r="H125" s="2" t="n">
        <v>574</v>
      </c>
      <c r="I125" s="2" t="n">
        <v>500</v>
      </c>
      <c r="J125" s="3" t="s">
        <v>35</v>
      </c>
      <c r="K125" s="0" t="n">
        <v>22</v>
      </c>
      <c r="L125" s="3" t="s">
        <v>22</v>
      </c>
      <c r="M125" s="3" t="s">
        <v>23</v>
      </c>
      <c r="N125" s="2" t="n">
        <v>432.62</v>
      </c>
      <c r="O125" s="4" t="n">
        <v>0.0349760765550239</v>
      </c>
      <c r="P125" s="2" t="n">
        <f aca="false">IF(M125="YES",G125*(1-Assumptions!$B$1-Assumptions!$B$2)/((1+Assumptions!$B$3)*(1+Assumptions!$B$4)),"")</f>
        <v>215.111111111111</v>
      </c>
      <c r="Q125" s="2" t="n">
        <f aca="false">IF(M125="YES",G125*(1-Assumptions!$B$1-Assumptions!$B$2)/((1+Assumptions!$B$3)*(1+Assumptions!$B$5)),"")</f>
        <v>180.693333333333</v>
      </c>
    </row>
    <row r="126" customFormat="false" ht="15" hidden="false" customHeight="false" outlineLevel="0" collapsed="false">
      <c r="A126" s="0" t="s">
        <v>93</v>
      </c>
      <c r="B126" s="0" t="n">
        <v>12</v>
      </c>
      <c r="C126" s="0" t="s">
        <v>97</v>
      </c>
      <c r="D126" s="0" t="s">
        <v>28</v>
      </c>
      <c r="E126" s="0" t="s">
        <v>20</v>
      </c>
      <c r="F126" s="2" t="n">
        <v>2620</v>
      </c>
      <c r="G126" s="2" t="n">
        <v>2029</v>
      </c>
      <c r="H126" s="2" t="n">
        <v>4455</v>
      </c>
      <c r="I126" s="2" t="n">
        <v>4000</v>
      </c>
      <c r="J126" s="3" t="s">
        <v>42</v>
      </c>
      <c r="K126" s="0" t="n">
        <v>4</v>
      </c>
      <c r="L126" s="3" t="s">
        <v>22</v>
      </c>
      <c r="M126" s="3" t="s">
        <v>23</v>
      </c>
      <c r="N126" s="2" t="n">
        <v>1447</v>
      </c>
      <c r="O126" s="4" t="n">
        <v>-0.447709923664122</v>
      </c>
      <c r="P126" s="2" t="n">
        <f aca="false">IF(M126="YES",G126*(1-Assumptions!$B$1-Assumptions!$B$2)/((1+Assumptions!$B$3)*(1+Assumptions!$B$4)),"")</f>
        <v>1417.07936507937</v>
      </c>
      <c r="Q126" s="2" t="n">
        <f aca="false">IF(M126="YES",G126*(1-Assumptions!$B$1-Assumptions!$B$2)/((1+Assumptions!$B$3)*(1+Assumptions!$B$5)),"")</f>
        <v>1190.34666666667</v>
      </c>
    </row>
    <row r="127" customFormat="false" ht="15" hidden="false" customHeight="false" outlineLevel="0" collapsed="false">
      <c r="A127" s="0" t="s">
        <v>93</v>
      </c>
      <c r="B127" s="0" t="n">
        <v>12</v>
      </c>
      <c r="C127" s="0" t="s">
        <v>97</v>
      </c>
      <c r="D127" s="0" t="s">
        <v>28</v>
      </c>
      <c r="E127" s="0" t="s">
        <v>24</v>
      </c>
      <c r="F127" s="2" t="n">
        <v>94</v>
      </c>
      <c r="G127" s="2" t="n">
        <v>75</v>
      </c>
      <c r="H127" s="2" t="n">
        <v>126</v>
      </c>
      <c r="I127" s="2" t="n">
        <v>101</v>
      </c>
      <c r="J127" s="3" t="s">
        <v>72</v>
      </c>
      <c r="K127" s="0" t="n">
        <v>17</v>
      </c>
      <c r="L127" s="3" t="s">
        <v>22</v>
      </c>
      <c r="M127" s="3" t="s">
        <v>23</v>
      </c>
      <c r="N127" s="2" t="n">
        <v>102.61</v>
      </c>
      <c r="O127" s="4" t="n">
        <v>0.091595744680851</v>
      </c>
      <c r="P127" s="2" t="n">
        <f aca="false">IF(M127="YES",G127*(1-Assumptions!$B$1-Assumptions!$B$2)/((1+Assumptions!$B$3)*(1+Assumptions!$B$4)),"")</f>
        <v>52.3809523809524</v>
      </c>
      <c r="Q127" s="2" t="n">
        <f aca="false">IF(M127="YES",G127*(1-Assumptions!$B$1-Assumptions!$B$2)/((1+Assumptions!$B$3)*(1+Assumptions!$B$5)),"")</f>
        <v>44</v>
      </c>
    </row>
    <row r="128" customFormat="false" ht="15" hidden="false" customHeight="false" outlineLevel="0" collapsed="false">
      <c r="A128" s="0" t="s">
        <v>93</v>
      </c>
      <c r="B128" s="0" t="n">
        <v>12</v>
      </c>
      <c r="C128" s="0" t="s">
        <v>97</v>
      </c>
      <c r="D128" s="0" t="s">
        <v>28</v>
      </c>
      <c r="E128" s="0" t="s">
        <v>26</v>
      </c>
      <c r="F128" s="2" t="n">
        <v>156</v>
      </c>
      <c r="G128" s="2" t="n">
        <v>115</v>
      </c>
      <c r="H128" s="2" t="n">
        <v>213</v>
      </c>
      <c r="I128" s="2" t="n">
        <v>150</v>
      </c>
      <c r="J128" s="3" t="s">
        <v>49</v>
      </c>
      <c r="K128" s="0" t="n">
        <v>10</v>
      </c>
      <c r="L128" s="3" t="s">
        <v>22</v>
      </c>
      <c r="M128" s="3" t="s">
        <v>23</v>
      </c>
      <c r="N128" s="2" t="n">
        <v>191.82</v>
      </c>
      <c r="O128" s="4" t="n">
        <v>0.229615384615385</v>
      </c>
      <c r="P128" s="2" t="n">
        <f aca="false">IF(M128="YES",G128*(1-Assumptions!$B$1-Assumptions!$B$2)/((1+Assumptions!$B$3)*(1+Assumptions!$B$4)),"")</f>
        <v>80.3174603174603</v>
      </c>
      <c r="Q128" s="2" t="n">
        <f aca="false">IF(M128="YES",G128*(1-Assumptions!$B$1-Assumptions!$B$2)/((1+Assumptions!$B$3)*(1+Assumptions!$B$5)),"")</f>
        <v>67.4666666666667</v>
      </c>
    </row>
    <row r="129" customFormat="false" ht="15" hidden="false" customHeight="false" outlineLevel="0" collapsed="false">
      <c r="A129" s="0" t="s">
        <v>93</v>
      </c>
      <c r="B129" s="0" t="n">
        <v>13</v>
      </c>
      <c r="C129" s="0" t="s">
        <v>98</v>
      </c>
      <c r="D129" s="0" t="s">
        <v>19</v>
      </c>
      <c r="E129" s="0" t="s">
        <v>20</v>
      </c>
      <c r="F129" s="2" t="n">
        <v>2560</v>
      </c>
      <c r="G129" s="2" t="n">
        <v>1983</v>
      </c>
      <c r="H129" s="2" t="n">
        <v>4353</v>
      </c>
      <c r="I129" s="2" t="n">
        <v>3311</v>
      </c>
      <c r="J129" s="3" t="s">
        <v>42</v>
      </c>
      <c r="K129" s="0" t="n">
        <v>18</v>
      </c>
      <c r="L129" s="3" t="s">
        <v>22</v>
      </c>
      <c r="M129" s="3" t="s">
        <v>23</v>
      </c>
      <c r="N129" s="2" t="n">
        <v>2904.12</v>
      </c>
      <c r="O129" s="4" t="n">
        <v>0.134421875</v>
      </c>
      <c r="P129" s="2" t="n">
        <f aca="false">IF(M129="YES",G129*(1-Assumptions!$B$1-Assumptions!$B$2)/((1+Assumptions!$B$3)*(1+Assumptions!$B$4)),"")</f>
        <v>1384.95238095238</v>
      </c>
      <c r="Q129" s="2" t="n">
        <f aca="false">IF(M129="YES",G129*(1-Assumptions!$B$1-Assumptions!$B$2)/((1+Assumptions!$B$3)*(1+Assumptions!$B$5)),"")</f>
        <v>1163.36</v>
      </c>
    </row>
    <row r="130" customFormat="false" ht="15" hidden="false" customHeight="false" outlineLevel="0" collapsed="false">
      <c r="A130" s="0" t="s">
        <v>93</v>
      </c>
      <c r="B130" s="0" t="n">
        <v>13</v>
      </c>
      <c r="C130" s="0" t="s">
        <v>98</v>
      </c>
      <c r="D130" s="0" t="s">
        <v>19</v>
      </c>
      <c r="E130" s="0" t="s">
        <v>24</v>
      </c>
      <c r="F130" s="2" t="n">
        <v>117</v>
      </c>
      <c r="G130" s="2" t="n">
        <v>93</v>
      </c>
      <c r="H130" s="2" t="n">
        <v>157</v>
      </c>
      <c r="I130" s="2" t="n">
        <v>117</v>
      </c>
      <c r="J130" s="3" t="s">
        <v>92</v>
      </c>
      <c r="K130" s="0" t="n">
        <v>17</v>
      </c>
      <c r="L130" s="3" t="s">
        <v>22</v>
      </c>
      <c r="M130" s="3" t="s">
        <v>23</v>
      </c>
      <c r="N130" s="2" t="n">
        <v>154.23</v>
      </c>
      <c r="O130" s="4" t="n">
        <v>0.318205128205128</v>
      </c>
      <c r="P130" s="2" t="n">
        <f aca="false">IF(M130="YES",G130*(1-Assumptions!$B$1-Assumptions!$B$2)/((1+Assumptions!$B$3)*(1+Assumptions!$B$4)),"")</f>
        <v>64.952380952381</v>
      </c>
      <c r="Q130" s="2" t="n">
        <f aca="false">IF(M130="YES",G130*(1-Assumptions!$B$1-Assumptions!$B$2)/((1+Assumptions!$B$3)*(1+Assumptions!$B$5)),"")</f>
        <v>54.56</v>
      </c>
    </row>
    <row r="131" customFormat="false" ht="15" hidden="false" customHeight="false" outlineLevel="0" collapsed="false">
      <c r="A131" s="0" t="s">
        <v>93</v>
      </c>
      <c r="B131" s="0" t="n">
        <v>13</v>
      </c>
      <c r="C131" s="0" t="s">
        <v>98</v>
      </c>
      <c r="D131" s="0" t="s">
        <v>19</v>
      </c>
      <c r="E131" s="0" t="s">
        <v>26</v>
      </c>
      <c r="F131" s="2" t="n">
        <v>241</v>
      </c>
      <c r="G131" s="2" t="n">
        <v>178</v>
      </c>
      <c r="H131" s="2" t="n">
        <v>331</v>
      </c>
      <c r="I131" s="2" t="n">
        <v>305</v>
      </c>
      <c r="J131" s="3" t="s">
        <v>35</v>
      </c>
      <c r="K131" s="0" t="n">
        <v>18</v>
      </c>
      <c r="L131" s="3" t="s">
        <v>22</v>
      </c>
      <c r="M131" s="3" t="s">
        <v>23</v>
      </c>
      <c r="N131" s="2" t="n">
        <v>247.44</v>
      </c>
      <c r="O131" s="4" t="n">
        <v>0.0267219917012448</v>
      </c>
      <c r="P131" s="2" t="n">
        <f aca="false">IF(M131="YES",G131*(1-Assumptions!$B$1-Assumptions!$B$2)/((1+Assumptions!$B$3)*(1+Assumptions!$B$4)),"")</f>
        <v>124.31746031746</v>
      </c>
      <c r="Q131" s="2" t="n">
        <f aca="false">IF(M131="YES",G131*(1-Assumptions!$B$1-Assumptions!$B$2)/((1+Assumptions!$B$3)*(1+Assumptions!$B$5)),"")</f>
        <v>104.426666666667</v>
      </c>
    </row>
    <row r="132" customFormat="false" ht="15" hidden="false" customHeight="false" outlineLevel="0" collapsed="false">
      <c r="A132" s="0" t="s">
        <v>93</v>
      </c>
      <c r="B132" s="0" t="n">
        <v>13</v>
      </c>
      <c r="C132" s="0" t="s">
        <v>98</v>
      </c>
      <c r="D132" s="0" t="s">
        <v>28</v>
      </c>
      <c r="E132" s="0" t="s">
        <v>20</v>
      </c>
      <c r="F132" s="2" t="n">
        <v>1298</v>
      </c>
      <c r="G132" s="2" t="n">
        <v>983</v>
      </c>
      <c r="H132" s="2" t="n">
        <v>4723</v>
      </c>
      <c r="I132" s="2" t="n">
        <v>1254</v>
      </c>
      <c r="J132" s="3" t="s">
        <v>99</v>
      </c>
      <c r="K132" s="0" t="n">
        <v>2</v>
      </c>
      <c r="L132" s="3" t="s">
        <v>30</v>
      </c>
      <c r="M132" s="3" t="s">
        <v>31</v>
      </c>
      <c r="N132" s="2" t="n">
        <v>2399.15</v>
      </c>
      <c r="O132" s="4" t="n">
        <v>0.848343605546996</v>
      </c>
      <c r="P132" s="2" t="str">
        <f aca="false">IF(M132="YES",G132*(1-Assumptions!$B$1-Assumptions!$B$2)/((1+Assumptions!$B$3)*(1+Assumptions!$B$4)),"")</f>
        <v/>
      </c>
      <c r="Q132" s="2" t="str">
        <f aca="false">IF(M132="YES",G132*(1-Assumptions!$B$1-Assumptions!$B$2)/((1+Assumptions!$B$3)*(1+Assumptions!$B$5)),"")</f>
        <v/>
      </c>
    </row>
    <row r="133" customFormat="false" ht="15" hidden="false" customHeight="false" outlineLevel="0" collapsed="false">
      <c r="A133" s="0" t="s">
        <v>93</v>
      </c>
      <c r="B133" s="0" t="n">
        <v>13</v>
      </c>
      <c r="C133" s="0" t="s">
        <v>98</v>
      </c>
      <c r="D133" s="0" t="s">
        <v>28</v>
      </c>
      <c r="E133" s="0" t="s">
        <v>24</v>
      </c>
      <c r="F133" s="2" t="n">
        <v>83</v>
      </c>
      <c r="G133" s="2" t="n">
        <v>66</v>
      </c>
      <c r="H133" s="2" t="n">
        <v>112</v>
      </c>
      <c r="I133" s="2" t="n">
        <v>110</v>
      </c>
      <c r="J133" s="3" t="s">
        <v>53</v>
      </c>
      <c r="K133" s="0" t="n">
        <v>13</v>
      </c>
      <c r="L133" s="3" t="s">
        <v>22</v>
      </c>
      <c r="M133" s="3" t="s">
        <v>23</v>
      </c>
      <c r="N133" s="2" t="n">
        <v>96.71</v>
      </c>
      <c r="O133" s="4" t="n">
        <v>0.165180722891566</v>
      </c>
      <c r="P133" s="2" t="n">
        <f aca="false">IF(M133="YES",G133*(1-Assumptions!$B$1-Assumptions!$B$2)/((1+Assumptions!$B$3)*(1+Assumptions!$B$4)),"")</f>
        <v>46.0952380952381</v>
      </c>
      <c r="Q133" s="2" t="n">
        <f aca="false">IF(M133="YES",G133*(1-Assumptions!$B$1-Assumptions!$B$2)/((1+Assumptions!$B$3)*(1+Assumptions!$B$5)),"")</f>
        <v>38.72</v>
      </c>
    </row>
    <row r="134" customFormat="false" ht="15" hidden="false" customHeight="false" outlineLevel="0" collapsed="false">
      <c r="A134" s="0" t="s">
        <v>93</v>
      </c>
      <c r="B134" s="0" t="n">
        <v>13</v>
      </c>
      <c r="C134" s="0" t="s">
        <v>98</v>
      </c>
      <c r="D134" s="0" t="s">
        <v>28</v>
      </c>
      <c r="E134" s="0" t="s">
        <v>26</v>
      </c>
      <c r="F134" s="2" t="n">
        <v>149</v>
      </c>
      <c r="G134" s="2" t="n">
        <v>110</v>
      </c>
      <c r="H134" s="2" t="n">
        <v>204</v>
      </c>
      <c r="I134" s="2" t="n">
        <v>149</v>
      </c>
      <c r="J134" s="3" t="s">
        <v>100</v>
      </c>
      <c r="K134" s="0" t="n">
        <v>6</v>
      </c>
      <c r="L134" s="3" t="s">
        <v>22</v>
      </c>
      <c r="M134" s="3" t="s">
        <v>23</v>
      </c>
      <c r="N134" s="2" t="n">
        <v>173.92</v>
      </c>
      <c r="O134" s="4" t="n">
        <v>0.167248322147651</v>
      </c>
      <c r="P134" s="2" t="n">
        <f aca="false">IF(M134="YES",G134*(1-Assumptions!$B$1-Assumptions!$B$2)/((1+Assumptions!$B$3)*(1+Assumptions!$B$4)),"")</f>
        <v>76.8253968253968</v>
      </c>
      <c r="Q134" s="2" t="n">
        <f aca="false">IF(M134="YES",G134*(1-Assumptions!$B$1-Assumptions!$B$2)/((1+Assumptions!$B$3)*(1+Assumptions!$B$5)),"")</f>
        <v>64.5333333333333</v>
      </c>
    </row>
    <row r="135" customFormat="false" ht="15" hidden="false" customHeight="false" outlineLevel="0" collapsed="false">
      <c r="A135" s="0" t="s">
        <v>93</v>
      </c>
      <c r="B135" s="0" t="n">
        <v>14</v>
      </c>
      <c r="C135" s="0" t="s">
        <v>101</v>
      </c>
      <c r="D135" s="0" t="s">
        <v>19</v>
      </c>
      <c r="E135" s="0" t="s">
        <v>20</v>
      </c>
      <c r="F135" s="2" t="n">
        <v>1493</v>
      </c>
      <c r="G135" s="2" t="n">
        <v>1157</v>
      </c>
      <c r="H135" s="2" t="n">
        <v>2540</v>
      </c>
      <c r="I135" s="2" t="n">
        <v>1937</v>
      </c>
      <c r="J135" s="3" t="s">
        <v>32</v>
      </c>
      <c r="K135" s="0" t="n">
        <v>76</v>
      </c>
      <c r="L135" s="3" t="s">
        <v>22</v>
      </c>
      <c r="M135" s="3" t="s">
        <v>23</v>
      </c>
      <c r="N135" s="2" t="n">
        <v>1521.74</v>
      </c>
      <c r="O135" s="4" t="n">
        <v>0.0192498325519088</v>
      </c>
      <c r="P135" s="2" t="n">
        <f aca="false">IF(M135="YES",G135*(1-Assumptions!$B$1-Assumptions!$B$2)/((1+Assumptions!$B$3)*(1+Assumptions!$B$4)),"")</f>
        <v>808.063492063492</v>
      </c>
      <c r="Q135" s="2" t="n">
        <f aca="false">IF(M135="YES",G135*(1-Assumptions!$B$1-Assumptions!$B$2)/((1+Assumptions!$B$3)*(1+Assumptions!$B$5)),"")</f>
        <v>678.773333333333</v>
      </c>
    </row>
    <row r="136" customFormat="false" ht="15" hidden="false" customHeight="false" outlineLevel="0" collapsed="false">
      <c r="A136" s="0" t="s">
        <v>93</v>
      </c>
      <c r="B136" s="0" t="n">
        <v>14</v>
      </c>
      <c r="C136" s="0" t="s">
        <v>101</v>
      </c>
      <c r="D136" s="0" t="s">
        <v>19</v>
      </c>
      <c r="E136" s="0" t="s">
        <v>24</v>
      </c>
      <c r="F136" s="2" t="n">
        <v>98</v>
      </c>
      <c r="G136" s="2" t="n">
        <v>78</v>
      </c>
      <c r="H136" s="2" t="n">
        <v>132</v>
      </c>
      <c r="I136" s="2" t="n">
        <v>100</v>
      </c>
      <c r="J136" s="3" t="s">
        <v>42</v>
      </c>
      <c r="K136" s="0" t="n">
        <v>13</v>
      </c>
      <c r="L136" s="3" t="s">
        <v>22</v>
      </c>
      <c r="M136" s="3" t="s">
        <v>23</v>
      </c>
      <c r="N136" s="2" t="n">
        <v>94.81</v>
      </c>
      <c r="O136" s="4" t="n">
        <v>-0.0325510204081632</v>
      </c>
      <c r="P136" s="2" t="n">
        <f aca="false">IF(M136="YES",G136*(1-Assumptions!$B$1-Assumptions!$B$2)/((1+Assumptions!$B$3)*(1+Assumptions!$B$4)),"")</f>
        <v>54.4761904761905</v>
      </c>
      <c r="Q136" s="2" t="n">
        <f aca="false">IF(M136="YES",G136*(1-Assumptions!$B$1-Assumptions!$B$2)/((1+Assumptions!$B$3)*(1+Assumptions!$B$5)),"")</f>
        <v>45.76</v>
      </c>
    </row>
    <row r="137" customFormat="false" ht="15" hidden="false" customHeight="false" outlineLevel="0" collapsed="false">
      <c r="A137" s="0" t="s">
        <v>93</v>
      </c>
      <c r="B137" s="0" t="n">
        <v>14</v>
      </c>
      <c r="C137" s="0" t="s">
        <v>101</v>
      </c>
      <c r="D137" s="0" t="s">
        <v>19</v>
      </c>
      <c r="E137" s="0" t="s">
        <v>26</v>
      </c>
      <c r="F137" s="2" t="n">
        <v>171</v>
      </c>
      <c r="G137" s="2" t="n">
        <v>126</v>
      </c>
      <c r="H137" s="2" t="n">
        <v>234</v>
      </c>
      <c r="I137" s="2" t="n">
        <v>180</v>
      </c>
      <c r="J137" s="3" t="s">
        <v>60</v>
      </c>
      <c r="K137" s="0" t="n">
        <v>18</v>
      </c>
      <c r="L137" s="3" t="s">
        <v>22</v>
      </c>
      <c r="M137" s="3" t="s">
        <v>23</v>
      </c>
      <c r="N137" s="2" t="n">
        <v>202.58</v>
      </c>
      <c r="O137" s="4" t="n">
        <v>0.184678362573099</v>
      </c>
      <c r="P137" s="2" t="n">
        <f aca="false">IF(M137="YES",G137*(1-Assumptions!$B$1-Assumptions!$B$2)/((1+Assumptions!$B$3)*(1+Assumptions!$B$4)),"")</f>
        <v>88</v>
      </c>
      <c r="Q137" s="2" t="n">
        <f aca="false">IF(M137="YES",G137*(1-Assumptions!$B$1-Assumptions!$B$2)/((1+Assumptions!$B$3)*(1+Assumptions!$B$5)),"")</f>
        <v>73.92</v>
      </c>
    </row>
    <row r="138" customFormat="false" ht="15" hidden="false" customHeight="false" outlineLevel="0" collapsed="false">
      <c r="A138" s="0" t="s">
        <v>93</v>
      </c>
      <c r="B138" s="0" t="n">
        <v>14</v>
      </c>
      <c r="C138" s="0" t="s">
        <v>101</v>
      </c>
      <c r="D138" s="0" t="s">
        <v>28</v>
      </c>
      <c r="E138" s="0" t="s">
        <v>20</v>
      </c>
      <c r="F138" s="2" t="n">
        <v>551</v>
      </c>
      <c r="G138" s="2" t="n">
        <v>427</v>
      </c>
      <c r="H138" s="2" t="n">
        <v>937</v>
      </c>
      <c r="I138" s="2" t="n">
        <v>379</v>
      </c>
      <c r="J138" s="3" t="s">
        <v>102</v>
      </c>
      <c r="K138" s="0" t="n">
        <v>4</v>
      </c>
      <c r="L138" s="3" t="s">
        <v>22</v>
      </c>
      <c r="M138" s="3" t="s">
        <v>23</v>
      </c>
      <c r="N138" s="2" t="n">
        <v>619.1</v>
      </c>
      <c r="O138" s="4" t="n">
        <v>0.123593466424683</v>
      </c>
      <c r="P138" s="2" t="n">
        <f aca="false">IF(M138="YES",G138*(1-Assumptions!$B$1-Assumptions!$B$2)/((1+Assumptions!$B$3)*(1+Assumptions!$B$4)),"")</f>
        <v>298.222222222222</v>
      </c>
      <c r="Q138" s="2" t="n">
        <f aca="false">IF(M138="YES",G138*(1-Assumptions!$B$1-Assumptions!$B$2)/((1+Assumptions!$B$3)*(1+Assumptions!$B$5)),"")</f>
        <v>250.506666666667</v>
      </c>
    </row>
    <row r="139" customFormat="false" ht="15" hidden="false" customHeight="false" outlineLevel="0" collapsed="false">
      <c r="A139" s="0" t="s">
        <v>93</v>
      </c>
      <c r="B139" s="0" t="n">
        <v>14</v>
      </c>
      <c r="C139" s="0" t="s">
        <v>101</v>
      </c>
      <c r="D139" s="0" t="s">
        <v>28</v>
      </c>
      <c r="E139" s="0" t="s">
        <v>24</v>
      </c>
      <c r="F139" s="2" t="n">
        <v>46</v>
      </c>
      <c r="G139" s="2" t="n">
        <v>36</v>
      </c>
      <c r="H139" s="2" t="n">
        <v>61</v>
      </c>
      <c r="I139" s="2" t="n">
        <v>55</v>
      </c>
      <c r="J139" s="3" t="s">
        <v>88</v>
      </c>
      <c r="K139" s="0" t="n">
        <v>16</v>
      </c>
      <c r="L139" s="3" t="s">
        <v>22</v>
      </c>
      <c r="M139" s="3" t="s">
        <v>23</v>
      </c>
      <c r="N139" s="2" t="n">
        <v>44.46</v>
      </c>
      <c r="O139" s="4" t="n">
        <v>-0.0334782608695651</v>
      </c>
      <c r="P139" s="2" t="n">
        <f aca="false">IF(M139="YES",G139*(1-Assumptions!$B$1-Assumptions!$B$2)/((1+Assumptions!$B$3)*(1+Assumptions!$B$4)),"")</f>
        <v>25.1428571428571</v>
      </c>
      <c r="Q139" s="2" t="n">
        <f aca="false">IF(M139="YES",G139*(1-Assumptions!$B$1-Assumptions!$B$2)/((1+Assumptions!$B$3)*(1+Assumptions!$B$5)),"")</f>
        <v>21.12</v>
      </c>
    </row>
    <row r="140" customFormat="false" ht="15" hidden="false" customHeight="false" outlineLevel="0" collapsed="false">
      <c r="A140" s="0" t="s">
        <v>93</v>
      </c>
      <c r="B140" s="0" t="n">
        <v>14</v>
      </c>
      <c r="C140" s="0" t="s">
        <v>101</v>
      </c>
      <c r="D140" s="0" t="s">
        <v>28</v>
      </c>
      <c r="E140" s="0" t="s">
        <v>26</v>
      </c>
      <c r="F140" s="2" t="n">
        <v>77</v>
      </c>
      <c r="G140" s="2" t="n">
        <v>56</v>
      </c>
      <c r="H140" s="2" t="n">
        <v>105</v>
      </c>
      <c r="I140" s="2" t="n">
        <v>80</v>
      </c>
      <c r="J140" s="3" t="s">
        <v>103</v>
      </c>
      <c r="K140" s="0" t="n">
        <v>20</v>
      </c>
      <c r="L140" s="3" t="s">
        <v>22</v>
      </c>
      <c r="M140" s="3" t="s">
        <v>23</v>
      </c>
      <c r="N140" s="2" t="n">
        <v>90.76</v>
      </c>
      <c r="O140" s="4" t="n">
        <v>0.178701298701299</v>
      </c>
      <c r="P140" s="2" t="n">
        <f aca="false">IF(M140="YES",G140*(1-Assumptions!$B$1-Assumptions!$B$2)/((1+Assumptions!$B$3)*(1+Assumptions!$B$4)),"")</f>
        <v>39.1111111111111</v>
      </c>
      <c r="Q140" s="2" t="n">
        <f aca="false">IF(M140="YES",G140*(1-Assumptions!$B$1-Assumptions!$B$2)/((1+Assumptions!$B$3)*(1+Assumptions!$B$5)),"")</f>
        <v>32.8533333333333</v>
      </c>
    </row>
    <row r="141" customFormat="false" ht="15" hidden="false" customHeight="false" outlineLevel="0" collapsed="false">
      <c r="A141" s="0" t="s">
        <v>93</v>
      </c>
      <c r="B141" s="0" t="n">
        <v>15</v>
      </c>
      <c r="C141" s="0" t="s">
        <v>104</v>
      </c>
      <c r="D141" s="0" t="s">
        <v>19</v>
      </c>
      <c r="E141" s="0" t="s">
        <v>20</v>
      </c>
      <c r="F141" s="2" t="n">
        <v>733</v>
      </c>
      <c r="G141" s="2" t="n">
        <v>567</v>
      </c>
      <c r="H141" s="2" t="n">
        <v>1246</v>
      </c>
      <c r="I141" s="2" t="n">
        <v>750</v>
      </c>
      <c r="J141" s="3" t="s">
        <v>32</v>
      </c>
      <c r="K141" s="0" t="n">
        <v>85</v>
      </c>
      <c r="L141" s="3" t="s">
        <v>22</v>
      </c>
      <c r="M141" s="3" t="s">
        <v>23</v>
      </c>
      <c r="N141" s="2" t="n">
        <v>684.31</v>
      </c>
      <c r="O141" s="4" t="n">
        <v>-0.0664256480218281</v>
      </c>
      <c r="P141" s="2" t="n">
        <f aca="false">IF(M141="YES",G141*(1-Assumptions!$B$1-Assumptions!$B$2)/((1+Assumptions!$B$3)*(1+Assumptions!$B$4)),"")</f>
        <v>396</v>
      </c>
      <c r="Q141" s="2" t="n">
        <f aca="false">IF(M141="YES",G141*(1-Assumptions!$B$1-Assumptions!$B$2)/((1+Assumptions!$B$3)*(1+Assumptions!$B$5)),"")</f>
        <v>332.64</v>
      </c>
    </row>
    <row r="142" customFormat="false" ht="15" hidden="false" customHeight="false" outlineLevel="0" collapsed="false">
      <c r="A142" s="0" t="s">
        <v>93</v>
      </c>
      <c r="B142" s="0" t="n">
        <v>15</v>
      </c>
      <c r="C142" s="0" t="s">
        <v>104</v>
      </c>
      <c r="D142" s="0" t="s">
        <v>19</v>
      </c>
      <c r="E142" s="0" t="s">
        <v>24</v>
      </c>
      <c r="F142" s="2" t="n">
        <v>90</v>
      </c>
      <c r="G142" s="2" t="n">
        <v>72</v>
      </c>
      <c r="H142" s="2" t="n">
        <v>121</v>
      </c>
      <c r="I142" s="2" t="n">
        <v>75</v>
      </c>
      <c r="J142" s="3" t="s">
        <v>41</v>
      </c>
      <c r="K142" s="0" t="n">
        <v>19</v>
      </c>
      <c r="L142" s="3" t="s">
        <v>22</v>
      </c>
      <c r="M142" s="3" t="s">
        <v>23</v>
      </c>
      <c r="N142" s="2" t="n">
        <v>98.58</v>
      </c>
      <c r="O142" s="4" t="n">
        <v>0.0953333333333332</v>
      </c>
      <c r="P142" s="2" t="n">
        <f aca="false">IF(M142="YES",G142*(1-Assumptions!$B$1-Assumptions!$B$2)/((1+Assumptions!$B$3)*(1+Assumptions!$B$4)),"")</f>
        <v>50.2857142857143</v>
      </c>
      <c r="Q142" s="2" t="n">
        <f aca="false">IF(M142="YES",G142*(1-Assumptions!$B$1-Assumptions!$B$2)/((1+Assumptions!$B$3)*(1+Assumptions!$B$5)),"")</f>
        <v>42.24</v>
      </c>
    </row>
    <row r="143" customFormat="false" ht="15" hidden="false" customHeight="false" outlineLevel="0" collapsed="false">
      <c r="A143" s="0" t="s">
        <v>93</v>
      </c>
      <c r="B143" s="0" t="n">
        <v>15</v>
      </c>
      <c r="C143" s="0" t="s">
        <v>104</v>
      </c>
      <c r="D143" s="0" t="s">
        <v>19</v>
      </c>
      <c r="E143" s="0" t="s">
        <v>26</v>
      </c>
      <c r="F143" s="2" t="n">
        <v>121</v>
      </c>
      <c r="G143" s="2" t="n">
        <v>89</v>
      </c>
      <c r="H143" s="2" t="n">
        <v>166</v>
      </c>
      <c r="I143" s="2" t="n">
        <v>110</v>
      </c>
      <c r="J143" s="3" t="s">
        <v>72</v>
      </c>
      <c r="K143" s="0" t="n">
        <v>23</v>
      </c>
      <c r="L143" s="3" t="s">
        <v>22</v>
      </c>
      <c r="M143" s="3" t="s">
        <v>23</v>
      </c>
      <c r="N143" s="2" t="n">
        <v>144.16</v>
      </c>
      <c r="O143" s="4" t="n">
        <v>0.191404958677686</v>
      </c>
      <c r="P143" s="2" t="n">
        <f aca="false">IF(M143="YES",G143*(1-Assumptions!$B$1-Assumptions!$B$2)/((1+Assumptions!$B$3)*(1+Assumptions!$B$4)),"")</f>
        <v>62.1587301587302</v>
      </c>
      <c r="Q143" s="2" t="n">
        <f aca="false">IF(M143="YES",G143*(1-Assumptions!$B$1-Assumptions!$B$2)/((1+Assumptions!$B$3)*(1+Assumptions!$B$5)),"")</f>
        <v>52.2133333333333</v>
      </c>
    </row>
    <row r="144" customFormat="false" ht="15" hidden="false" customHeight="false" outlineLevel="0" collapsed="false">
      <c r="A144" s="0" t="s">
        <v>93</v>
      </c>
      <c r="B144" s="0" t="n">
        <v>15</v>
      </c>
      <c r="C144" s="0" t="s">
        <v>104</v>
      </c>
      <c r="D144" s="0" t="s">
        <v>28</v>
      </c>
      <c r="E144" s="0" t="s">
        <v>20</v>
      </c>
      <c r="F144" s="2" t="n">
        <v>334</v>
      </c>
      <c r="G144" s="2" t="n">
        <v>259</v>
      </c>
      <c r="H144" s="2" t="n">
        <v>568</v>
      </c>
      <c r="I144" s="2" t="n">
        <v>318</v>
      </c>
      <c r="J144" s="3" t="s">
        <v>32</v>
      </c>
      <c r="K144" s="0" t="n">
        <v>21</v>
      </c>
      <c r="L144" s="3" t="s">
        <v>22</v>
      </c>
      <c r="M144" s="3" t="s">
        <v>23</v>
      </c>
      <c r="N144" s="2" t="n">
        <v>310.38</v>
      </c>
      <c r="O144" s="4" t="n">
        <v>-0.0707185628742514</v>
      </c>
      <c r="P144" s="2" t="n">
        <f aca="false">IF(M144="YES",G144*(1-Assumptions!$B$1-Assumptions!$B$2)/((1+Assumptions!$B$3)*(1+Assumptions!$B$4)),"")</f>
        <v>180.888888888889</v>
      </c>
      <c r="Q144" s="2" t="n">
        <f aca="false">IF(M144="YES",G144*(1-Assumptions!$B$1-Assumptions!$B$2)/((1+Assumptions!$B$3)*(1+Assumptions!$B$5)),"")</f>
        <v>151.946666666667</v>
      </c>
    </row>
    <row r="145" customFormat="false" ht="15" hidden="false" customHeight="false" outlineLevel="0" collapsed="false">
      <c r="A145" s="0" t="s">
        <v>93</v>
      </c>
      <c r="B145" s="0" t="n">
        <v>15</v>
      </c>
      <c r="C145" s="0" t="s">
        <v>104</v>
      </c>
      <c r="D145" s="0" t="s">
        <v>28</v>
      </c>
      <c r="E145" s="0" t="s">
        <v>24</v>
      </c>
      <c r="F145" s="2" t="n">
        <v>48</v>
      </c>
      <c r="G145" s="2" t="n">
        <v>38</v>
      </c>
      <c r="H145" s="2" t="n">
        <v>64</v>
      </c>
      <c r="I145" s="2" t="n">
        <v>53</v>
      </c>
      <c r="J145" s="3" t="s">
        <v>55</v>
      </c>
      <c r="K145" s="0" t="n">
        <v>18</v>
      </c>
      <c r="L145" s="3" t="s">
        <v>22</v>
      </c>
      <c r="M145" s="3" t="s">
        <v>23</v>
      </c>
      <c r="N145" s="2" t="n">
        <v>47.7</v>
      </c>
      <c r="O145" s="4" t="n">
        <v>-0.0062499999999999</v>
      </c>
      <c r="P145" s="2" t="n">
        <f aca="false">IF(M145="YES",G145*(1-Assumptions!$B$1-Assumptions!$B$2)/((1+Assumptions!$B$3)*(1+Assumptions!$B$4)),"")</f>
        <v>26.5396825396825</v>
      </c>
      <c r="Q145" s="2" t="n">
        <f aca="false">IF(M145="YES",G145*(1-Assumptions!$B$1-Assumptions!$B$2)/((1+Assumptions!$B$3)*(1+Assumptions!$B$5)),"")</f>
        <v>22.2933333333333</v>
      </c>
    </row>
    <row r="146" customFormat="false" ht="15" hidden="false" customHeight="false" outlineLevel="0" collapsed="false">
      <c r="A146" s="0" t="s">
        <v>93</v>
      </c>
      <c r="B146" s="0" t="n">
        <v>15</v>
      </c>
      <c r="C146" s="0" t="s">
        <v>104</v>
      </c>
      <c r="D146" s="0" t="s">
        <v>28</v>
      </c>
      <c r="E146" s="0" t="s">
        <v>26</v>
      </c>
      <c r="F146" s="2" t="n">
        <v>71</v>
      </c>
      <c r="G146" s="2" t="n">
        <v>52</v>
      </c>
      <c r="H146" s="2" t="n">
        <v>97</v>
      </c>
      <c r="I146" s="2" t="n">
        <v>82</v>
      </c>
      <c r="J146" s="3" t="s">
        <v>105</v>
      </c>
      <c r="K146" s="0" t="n">
        <v>20</v>
      </c>
      <c r="L146" s="3" t="s">
        <v>22</v>
      </c>
      <c r="M146" s="3" t="s">
        <v>23</v>
      </c>
      <c r="N146" s="2" t="n">
        <v>103.98</v>
      </c>
      <c r="O146" s="4" t="n">
        <v>0.464507042253521</v>
      </c>
      <c r="P146" s="2" t="n">
        <f aca="false">IF(M146="YES",G146*(1-Assumptions!$B$1-Assumptions!$B$2)/((1+Assumptions!$B$3)*(1+Assumptions!$B$4)),"")</f>
        <v>36.3174603174603</v>
      </c>
      <c r="Q146" s="2" t="n">
        <f aca="false">IF(M146="YES",G146*(1-Assumptions!$B$1-Assumptions!$B$2)/((1+Assumptions!$B$3)*(1+Assumptions!$B$5)),"")</f>
        <v>30.5066666666667</v>
      </c>
    </row>
    <row r="147" customFormat="false" ht="15" hidden="false" customHeight="false" outlineLevel="0" collapsed="false">
      <c r="A147" s="0" t="s">
        <v>93</v>
      </c>
      <c r="B147" s="0" t="n">
        <v>16</v>
      </c>
      <c r="C147" s="0" t="s">
        <v>106</v>
      </c>
      <c r="D147" s="0" t="s">
        <v>19</v>
      </c>
      <c r="E147" s="0" t="s">
        <v>20</v>
      </c>
      <c r="F147" s="2" t="n">
        <v>667</v>
      </c>
      <c r="G147" s="2" t="n">
        <v>517</v>
      </c>
      <c r="H147" s="2" t="n">
        <v>1134</v>
      </c>
      <c r="I147" s="2" t="n">
        <v>625</v>
      </c>
      <c r="J147" s="3" t="s">
        <v>46</v>
      </c>
      <c r="K147" s="0" t="n">
        <v>39</v>
      </c>
      <c r="L147" s="3" t="s">
        <v>22</v>
      </c>
      <c r="M147" s="3" t="s">
        <v>23</v>
      </c>
      <c r="N147" s="2" t="n">
        <v>642.81</v>
      </c>
      <c r="O147" s="4" t="n">
        <v>-0.0362668665667167</v>
      </c>
      <c r="P147" s="2" t="n">
        <f aca="false">IF(M147="YES",G147*(1-Assumptions!$B$1-Assumptions!$B$2)/((1+Assumptions!$B$3)*(1+Assumptions!$B$4)),"")</f>
        <v>361.079365079365</v>
      </c>
      <c r="Q147" s="2" t="n">
        <f aca="false">IF(M147="YES",G147*(1-Assumptions!$B$1-Assumptions!$B$2)/((1+Assumptions!$B$3)*(1+Assumptions!$B$5)),"")</f>
        <v>303.306666666667</v>
      </c>
    </row>
    <row r="148" customFormat="false" ht="15" hidden="false" customHeight="false" outlineLevel="0" collapsed="false">
      <c r="A148" s="0" t="s">
        <v>93</v>
      </c>
      <c r="B148" s="0" t="n">
        <v>16</v>
      </c>
      <c r="C148" s="0" t="s">
        <v>106</v>
      </c>
      <c r="D148" s="0" t="s">
        <v>19</v>
      </c>
      <c r="E148" s="0" t="s">
        <v>24</v>
      </c>
      <c r="F148" s="2" t="n">
        <v>69</v>
      </c>
      <c r="G148" s="2" t="n">
        <v>55</v>
      </c>
      <c r="H148" s="2" t="n">
        <v>92</v>
      </c>
      <c r="I148" s="2" t="n">
        <v>80</v>
      </c>
      <c r="J148" s="3" t="s">
        <v>107</v>
      </c>
      <c r="K148" s="0" t="n">
        <v>16</v>
      </c>
      <c r="L148" s="3" t="s">
        <v>22</v>
      </c>
      <c r="M148" s="3" t="s">
        <v>23</v>
      </c>
      <c r="N148" s="2" t="n">
        <v>77.96</v>
      </c>
      <c r="O148" s="4" t="n">
        <v>0.129855072463768</v>
      </c>
      <c r="P148" s="2" t="n">
        <f aca="false">IF(M148="YES",G148*(1-Assumptions!$B$1-Assumptions!$B$2)/((1+Assumptions!$B$3)*(1+Assumptions!$B$4)),"")</f>
        <v>38.4126984126984</v>
      </c>
      <c r="Q148" s="2" t="n">
        <f aca="false">IF(M148="YES",G148*(1-Assumptions!$B$1-Assumptions!$B$2)/((1+Assumptions!$B$3)*(1+Assumptions!$B$5)),"")</f>
        <v>32.2666666666667</v>
      </c>
    </row>
    <row r="149" customFormat="false" ht="15" hidden="false" customHeight="false" outlineLevel="0" collapsed="false">
      <c r="A149" s="0" t="s">
        <v>93</v>
      </c>
      <c r="B149" s="0" t="n">
        <v>16</v>
      </c>
      <c r="C149" s="0" t="s">
        <v>106</v>
      </c>
      <c r="D149" s="0" t="s">
        <v>19</v>
      </c>
      <c r="E149" s="0" t="s">
        <v>26</v>
      </c>
      <c r="F149" s="2" t="n">
        <v>105</v>
      </c>
      <c r="G149" s="2" t="n">
        <v>77</v>
      </c>
      <c r="H149" s="2" t="n">
        <v>144</v>
      </c>
      <c r="I149" s="2" t="n">
        <v>107</v>
      </c>
      <c r="J149" s="3" t="s">
        <v>62</v>
      </c>
      <c r="K149" s="0" t="n">
        <v>21</v>
      </c>
      <c r="L149" s="3" t="s">
        <v>22</v>
      </c>
      <c r="M149" s="3" t="s">
        <v>23</v>
      </c>
      <c r="N149" s="2" t="n">
        <v>116.44</v>
      </c>
      <c r="O149" s="4" t="n">
        <v>0.108952380952381</v>
      </c>
      <c r="P149" s="2" t="n">
        <f aca="false">IF(M149="YES",G149*(1-Assumptions!$B$1-Assumptions!$B$2)/((1+Assumptions!$B$3)*(1+Assumptions!$B$4)),"")</f>
        <v>53.7777777777778</v>
      </c>
      <c r="Q149" s="2" t="n">
        <f aca="false">IF(M149="YES",G149*(1-Assumptions!$B$1-Assumptions!$B$2)/((1+Assumptions!$B$3)*(1+Assumptions!$B$5)),"")</f>
        <v>45.1733333333333</v>
      </c>
    </row>
    <row r="150" customFormat="false" ht="15" hidden="false" customHeight="false" outlineLevel="0" collapsed="false">
      <c r="A150" s="0" t="s">
        <v>93</v>
      </c>
      <c r="B150" s="0" t="n">
        <v>16</v>
      </c>
      <c r="C150" s="0" t="s">
        <v>106</v>
      </c>
      <c r="D150" s="0" t="s">
        <v>28</v>
      </c>
      <c r="E150" s="0" t="s">
        <v>20</v>
      </c>
      <c r="F150" s="2" t="n">
        <v>373</v>
      </c>
      <c r="G150" s="2" t="n">
        <v>289</v>
      </c>
      <c r="H150" s="2" t="n">
        <v>634</v>
      </c>
      <c r="I150" s="2" t="n">
        <v>308</v>
      </c>
      <c r="J150" s="3" t="s">
        <v>108</v>
      </c>
      <c r="K150" s="0" t="n">
        <v>6</v>
      </c>
      <c r="L150" s="3" t="s">
        <v>22</v>
      </c>
      <c r="M150" s="3" t="s">
        <v>23</v>
      </c>
      <c r="N150" s="2" t="n">
        <v>358.66</v>
      </c>
      <c r="O150" s="4" t="n">
        <v>-0.0384450402144771</v>
      </c>
      <c r="P150" s="2" t="n">
        <f aca="false">IF(M150="YES",G150*(1-Assumptions!$B$1-Assumptions!$B$2)/((1+Assumptions!$B$3)*(1+Assumptions!$B$4)),"")</f>
        <v>201.84126984127</v>
      </c>
      <c r="Q150" s="2" t="n">
        <f aca="false">IF(M150="YES",G150*(1-Assumptions!$B$1-Assumptions!$B$2)/((1+Assumptions!$B$3)*(1+Assumptions!$B$5)),"")</f>
        <v>169.546666666667</v>
      </c>
    </row>
    <row r="151" customFormat="false" ht="15" hidden="false" customHeight="false" outlineLevel="0" collapsed="false">
      <c r="A151" s="0" t="s">
        <v>93</v>
      </c>
      <c r="B151" s="0" t="n">
        <v>16</v>
      </c>
      <c r="C151" s="0" t="s">
        <v>106</v>
      </c>
      <c r="D151" s="0" t="s">
        <v>28</v>
      </c>
      <c r="E151" s="0" t="s">
        <v>24</v>
      </c>
      <c r="F151" s="2" t="n">
        <v>47</v>
      </c>
      <c r="G151" s="2" t="n">
        <v>38</v>
      </c>
      <c r="H151" s="2" t="n">
        <v>64</v>
      </c>
      <c r="I151" s="2" t="n">
        <v>61</v>
      </c>
      <c r="J151" s="3" t="s">
        <v>73</v>
      </c>
      <c r="K151" s="0" t="n">
        <v>17</v>
      </c>
      <c r="L151" s="3" t="s">
        <v>22</v>
      </c>
      <c r="M151" s="3" t="s">
        <v>23</v>
      </c>
      <c r="N151" s="2" t="n">
        <v>68.1</v>
      </c>
      <c r="O151" s="4" t="n">
        <v>0.448936170212766</v>
      </c>
      <c r="P151" s="2" t="n">
        <f aca="false">IF(M151="YES",G151*(1-Assumptions!$B$1-Assumptions!$B$2)/((1+Assumptions!$B$3)*(1+Assumptions!$B$4)),"")</f>
        <v>26.5396825396825</v>
      </c>
      <c r="Q151" s="2" t="n">
        <f aca="false">IF(M151="YES",G151*(1-Assumptions!$B$1-Assumptions!$B$2)/((1+Assumptions!$B$3)*(1+Assumptions!$B$5)),"")</f>
        <v>22.2933333333333</v>
      </c>
    </row>
    <row r="152" customFormat="false" ht="15" hidden="false" customHeight="false" outlineLevel="0" collapsed="false">
      <c r="A152" s="0" t="s">
        <v>93</v>
      </c>
      <c r="B152" s="0" t="n">
        <v>16</v>
      </c>
      <c r="C152" s="0" t="s">
        <v>106</v>
      </c>
      <c r="D152" s="0" t="s">
        <v>28</v>
      </c>
      <c r="E152" s="0" t="s">
        <v>26</v>
      </c>
      <c r="F152" s="2" t="n">
        <v>68</v>
      </c>
      <c r="G152" s="2" t="n">
        <v>50</v>
      </c>
      <c r="H152" s="2" t="n">
        <v>93</v>
      </c>
      <c r="I152" s="2" t="n">
        <v>75</v>
      </c>
      <c r="J152" s="3" t="s">
        <v>109</v>
      </c>
      <c r="K152" s="0" t="n">
        <v>11</v>
      </c>
      <c r="L152" s="3" t="s">
        <v>22</v>
      </c>
      <c r="M152" s="3" t="s">
        <v>23</v>
      </c>
      <c r="N152" s="2" t="n">
        <v>70.66</v>
      </c>
      <c r="O152" s="4" t="n">
        <v>0.0391176470588234</v>
      </c>
      <c r="P152" s="2" t="n">
        <f aca="false">IF(M152="YES",G152*(1-Assumptions!$B$1-Assumptions!$B$2)/((1+Assumptions!$B$3)*(1+Assumptions!$B$4)),"")</f>
        <v>34.9206349206349</v>
      </c>
      <c r="Q152" s="2" t="n">
        <f aca="false">IF(M152="YES",G152*(1-Assumptions!$B$1-Assumptions!$B$2)/((1+Assumptions!$B$3)*(1+Assumptions!$B$5)),"")</f>
        <v>29.3333333333333</v>
      </c>
    </row>
    <row r="153" customFormat="false" ht="15" hidden="false" customHeight="false" outlineLevel="0" collapsed="false">
      <c r="A153" s="0" t="s">
        <v>93</v>
      </c>
      <c r="B153" s="0" t="n">
        <v>17</v>
      </c>
      <c r="C153" s="0" t="s">
        <v>110</v>
      </c>
      <c r="D153" s="0" t="s">
        <v>19</v>
      </c>
      <c r="E153" s="0" t="s">
        <v>20</v>
      </c>
      <c r="F153" s="2" t="n">
        <v>1715</v>
      </c>
      <c r="G153" s="2" t="n">
        <v>1328</v>
      </c>
      <c r="H153" s="2" t="n">
        <v>2916</v>
      </c>
      <c r="I153" s="2" t="n">
        <v>1710</v>
      </c>
      <c r="J153" s="3" t="s">
        <v>35</v>
      </c>
      <c r="K153" s="0" t="n">
        <v>20</v>
      </c>
      <c r="L153" s="3" t="s">
        <v>22</v>
      </c>
      <c r="M153" s="3" t="s">
        <v>23</v>
      </c>
      <c r="N153" s="2" t="n">
        <v>1880.95</v>
      </c>
      <c r="O153" s="4" t="n">
        <v>0.0967638483965014</v>
      </c>
      <c r="P153" s="2" t="n">
        <f aca="false">IF(M153="YES",G153*(1-Assumptions!$B$1-Assumptions!$B$2)/((1+Assumptions!$B$3)*(1+Assumptions!$B$4)),"")</f>
        <v>927.492063492064</v>
      </c>
      <c r="Q153" s="2" t="n">
        <f aca="false">IF(M153="YES",G153*(1-Assumptions!$B$1-Assumptions!$B$2)/((1+Assumptions!$B$3)*(1+Assumptions!$B$5)),"")</f>
        <v>779.093333333333</v>
      </c>
    </row>
    <row r="154" customFormat="false" ht="15" hidden="false" customHeight="false" outlineLevel="0" collapsed="false">
      <c r="A154" s="0" t="s">
        <v>93</v>
      </c>
      <c r="B154" s="0" t="n">
        <v>17</v>
      </c>
      <c r="C154" s="0" t="s">
        <v>110</v>
      </c>
      <c r="D154" s="0" t="s">
        <v>19</v>
      </c>
      <c r="E154" s="0" t="s">
        <v>24</v>
      </c>
      <c r="F154" s="2" t="n">
        <v>54</v>
      </c>
      <c r="G154" s="2" t="n">
        <v>43</v>
      </c>
      <c r="H154" s="2" t="n">
        <v>72</v>
      </c>
      <c r="I154" s="2" t="n">
        <v>46</v>
      </c>
      <c r="J154" s="3" t="s">
        <v>62</v>
      </c>
      <c r="K154" s="0" t="n">
        <v>20</v>
      </c>
      <c r="L154" s="3" t="s">
        <v>22</v>
      </c>
      <c r="M154" s="3" t="s">
        <v>23</v>
      </c>
      <c r="N154" s="2" t="n">
        <v>50.9</v>
      </c>
      <c r="O154" s="4" t="n">
        <v>-0.0574074074074074</v>
      </c>
      <c r="P154" s="2" t="n">
        <f aca="false">IF(M154="YES",G154*(1-Assumptions!$B$1-Assumptions!$B$2)/((1+Assumptions!$B$3)*(1+Assumptions!$B$4)),"")</f>
        <v>30.031746031746</v>
      </c>
      <c r="Q154" s="2" t="n">
        <f aca="false">IF(M154="YES",G154*(1-Assumptions!$B$1-Assumptions!$B$2)/((1+Assumptions!$B$3)*(1+Assumptions!$B$5)),"")</f>
        <v>25.2266666666667</v>
      </c>
    </row>
    <row r="155" customFormat="false" ht="15" hidden="false" customHeight="false" outlineLevel="0" collapsed="false">
      <c r="A155" s="0" t="s">
        <v>93</v>
      </c>
      <c r="B155" s="0" t="n">
        <v>17</v>
      </c>
      <c r="C155" s="0" t="s">
        <v>110</v>
      </c>
      <c r="D155" s="0" t="s">
        <v>19</v>
      </c>
      <c r="E155" s="0" t="s">
        <v>26</v>
      </c>
      <c r="F155" s="2" t="n">
        <v>122</v>
      </c>
      <c r="G155" s="2" t="n">
        <v>90</v>
      </c>
      <c r="H155" s="2" t="n">
        <v>167</v>
      </c>
      <c r="I155" s="2" t="n">
        <v>106</v>
      </c>
      <c r="J155" s="3" t="s">
        <v>111</v>
      </c>
      <c r="K155" s="0" t="n">
        <v>20</v>
      </c>
      <c r="L155" s="3" t="s">
        <v>22</v>
      </c>
      <c r="M155" s="3" t="s">
        <v>23</v>
      </c>
      <c r="N155" s="2" t="n">
        <v>120.1</v>
      </c>
      <c r="O155" s="4" t="n">
        <v>-0.0155737704918033</v>
      </c>
      <c r="P155" s="2" t="n">
        <f aca="false">IF(M155="YES",G155*(1-Assumptions!$B$1-Assumptions!$B$2)/((1+Assumptions!$B$3)*(1+Assumptions!$B$4)),"")</f>
        <v>62.8571428571429</v>
      </c>
      <c r="Q155" s="2" t="n">
        <f aca="false">IF(M155="YES",G155*(1-Assumptions!$B$1-Assumptions!$B$2)/((1+Assumptions!$B$3)*(1+Assumptions!$B$5)),"")</f>
        <v>52.8</v>
      </c>
    </row>
    <row r="156" customFormat="false" ht="15" hidden="false" customHeight="false" outlineLevel="0" collapsed="false">
      <c r="A156" s="0" t="s">
        <v>93</v>
      </c>
      <c r="B156" s="0" t="n">
        <v>17</v>
      </c>
      <c r="C156" s="0" t="s">
        <v>110</v>
      </c>
      <c r="D156" s="0" t="s">
        <v>28</v>
      </c>
      <c r="E156" s="0" t="s">
        <v>20</v>
      </c>
      <c r="F156" s="2" t="n">
        <v>1292</v>
      </c>
      <c r="G156" s="2" t="n">
        <v>978</v>
      </c>
      <c r="H156" s="2" t="n">
        <v>4699</v>
      </c>
      <c r="I156" s="2" t="n">
        <v>960</v>
      </c>
      <c r="J156" s="3" t="s">
        <v>112</v>
      </c>
      <c r="K156" s="0" t="n">
        <v>1</v>
      </c>
      <c r="L156" s="3" t="s">
        <v>30</v>
      </c>
      <c r="M156" s="3" t="s">
        <v>31</v>
      </c>
      <c r="N156" s="2" t="n">
        <v>1230</v>
      </c>
      <c r="O156" s="4" t="n">
        <v>-0.0479876160990712</v>
      </c>
      <c r="P156" s="2" t="str">
        <f aca="false">IF(M156="YES",G156*(1-Assumptions!$B$1-Assumptions!$B$2)/((1+Assumptions!$B$3)*(1+Assumptions!$B$4)),"")</f>
        <v/>
      </c>
      <c r="Q156" s="2" t="str">
        <f aca="false">IF(M156="YES",G156*(1-Assumptions!$B$1-Assumptions!$B$2)/((1+Assumptions!$B$3)*(1+Assumptions!$B$5)),"")</f>
        <v/>
      </c>
    </row>
    <row r="157" customFormat="false" ht="15" hidden="false" customHeight="false" outlineLevel="0" collapsed="false">
      <c r="A157" s="0" t="s">
        <v>93</v>
      </c>
      <c r="B157" s="0" t="n">
        <v>17</v>
      </c>
      <c r="C157" s="0" t="s">
        <v>110</v>
      </c>
      <c r="D157" s="0" t="s">
        <v>28</v>
      </c>
      <c r="E157" s="0" t="s">
        <v>24</v>
      </c>
      <c r="F157" s="2" t="n">
        <v>47</v>
      </c>
      <c r="G157" s="2" t="n">
        <v>37</v>
      </c>
      <c r="H157" s="2" t="n">
        <v>63</v>
      </c>
      <c r="I157" s="2" t="n">
        <v>37</v>
      </c>
      <c r="J157" s="3" t="s">
        <v>71</v>
      </c>
      <c r="K157" s="0" t="n">
        <v>11</v>
      </c>
      <c r="L157" s="3" t="s">
        <v>22</v>
      </c>
      <c r="M157" s="3" t="s">
        <v>23</v>
      </c>
      <c r="N157" s="2" t="n">
        <v>39.82</v>
      </c>
      <c r="O157" s="4" t="n">
        <v>-0.152765957446809</v>
      </c>
      <c r="P157" s="2" t="n">
        <f aca="false">IF(M157="YES",G157*(1-Assumptions!$B$1-Assumptions!$B$2)/((1+Assumptions!$B$3)*(1+Assumptions!$B$4)),"")</f>
        <v>25.8412698412698</v>
      </c>
      <c r="Q157" s="2" t="n">
        <f aca="false">IF(M157="YES",G157*(1-Assumptions!$B$1-Assumptions!$B$2)/((1+Assumptions!$B$3)*(1+Assumptions!$B$5)),"")</f>
        <v>21.7066666666667</v>
      </c>
    </row>
    <row r="158" customFormat="false" ht="15" hidden="false" customHeight="false" outlineLevel="0" collapsed="false">
      <c r="A158" s="0" t="s">
        <v>93</v>
      </c>
      <c r="B158" s="0" t="n">
        <v>17</v>
      </c>
      <c r="C158" s="0" t="s">
        <v>110</v>
      </c>
      <c r="D158" s="0" t="s">
        <v>28</v>
      </c>
      <c r="E158" s="0" t="s">
        <v>26</v>
      </c>
      <c r="F158" s="2" t="n">
        <v>97</v>
      </c>
      <c r="G158" s="2" t="n">
        <v>72</v>
      </c>
      <c r="H158" s="2" t="n">
        <v>134</v>
      </c>
      <c r="I158" s="2" t="n">
        <v>85</v>
      </c>
      <c r="J158" s="3" t="s">
        <v>113</v>
      </c>
      <c r="K158" s="0" t="n">
        <v>6</v>
      </c>
      <c r="L158" s="3" t="s">
        <v>22</v>
      </c>
      <c r="M158" s="3" t="s">
        <v>23</v>
      </c>
      <c r="N158" s="2" t="n">
        <v>94.65</v>
      </c>
      <c r="O158" s="4" t="n">
        <v>-0.0242268041237112</v>
      </c>
      <c r="P158" s="2" t="n">
        <f aca="false">IF(M158="YES",G158*(1-Assumptions!$B$1-Assumptions!$B$2)/((1+Assumptions!$B$3)*(1+Assumptions!$B$4)),"")</f>
        <v>50.2857142857143</v>
      </c>
      <c r="Q158" s="2" t="n">
        <f aca="false">IF(M158="YES",G158*(1-Assumptions!$B$1-Assumptions!$B$2)/((1+Assumptions!$B$3)*(1+Assumptions!$B$5)),"")</f>
        <v>42.24</v>
      </c>
    </row>
    <row r="159" customFormat="false" ht="15" hidden="false" customHeight="false" outlineLevel="0" collapsed="false">
      <c r="A159" s="0" t="s">
        <v>93</v>
      </c>
      <c r="B159" s="0" t="n">
        <v>1</v>
      </c>
      <c r="C159" s="0" t="s">
        <v>114</v>
      </c>
      <c r="D159" s="0" t="s">
        <v>19</v>
      </c>
      <c r="E159" s="0" t="s">
        <v>20</v>
      </c>
      <c r="F159" s="2" t="n">
        <v>4732</v>
      </c>
      <c r="G159" s="2" t="n">
        <v>3665</v>
      </c>
      <c r="H159" s="2" t="n">
        <v>8046</v>
      </c>
      <c r="I159" s="2" t="n">
        <v>5225</v>
      </c>
      <c r="J159" s="3" t="s">
        <v>72</v>
      </c>
      <c r="K159" s="0" t="n">
        <v>40</v>
      </c>
      <c r="L159" s="3" t="s">
        <v>22</v>
      </c>
      <c r="M159" s="3" t="s">
        <v>23</v>
      </c>
      <c r="N159" s="2" t="n">
        <v>5319.64</v>
      </c>
      <c r="O159" s="4" t="n">
        <v>0.124184277261201</v>
      </c>
      <c r="P159" s="2" t="n">
        <f aca="false">IF(M159="YES",G159*(1-Assumptions!$B$1-Assumptions!$B$2)/((1+Assumptions!$B$3)*(1+Assumptions!$B$4)),"")</f>
        <v>2559.68253968254</v>
      </c>
      <c r="Q159" s="2" t="n">
        <f aca="false">IF(M159="YES",G159*(1-Assumptions!$B$1-Assumptions!$B$2)/((1+Assumptions!$B$3)*(1+Assumptions!$B$5)),"")</f>
        <v>2150.13333333333</v>
      </c>
    </row>
    <row r="160" customFormat="false" ht="15" hidden="false" customHeight="false" outlineLevel="0" collapsed="false">
      <c r="A160" s="0" t="s">
        <v>93</v>
      </c>
      <c r="B160" s="0" t="n">
        <v>1</v>
      </c>
      <c r="C160" s="0" t="s">
        <v>114</v>
      </c>
      <c r="D160" s="0" t="s">
        <v>19</v>
      </c>
      <c r="E160" s="0" t="s">
        <v>24</v>
      </c>
      <c r="F160" s="2" t="n">
        <v>250</v>
      </c>
      <c r="G160" s="2" t="n">
        <v>198</v>
      </c>
      <c r="H160" s="2" t="n">
        <v>336</v>
      </c>
      <c r="I160" s="2" t="n">
        <v>300</v>
      </c>
      <c r="J160" s="3" t="s">
        <v>43</v>
      </c>
      <c r="K160" s="0" t="n">
        <v>19</v>
      </c>
      <c r="L160" s="3" t="s">
        <v>22</v>
      </c>
      <c r="M160" s="3" t="s">
        <v>23</v>
      </c>
      <c r="N160" s="2" t="n">
        <v>282</v>
      </c>
      <c r="O160" s="4" t="n">
        <v>0.128</v>
      </c>
      <c r="P160" s="2" t="n">
        <f aca="false">IF(M160="YES",G160*(1-Assumptions!$B$1-Assumptions!$B$2)/((1+Assumptions!$B$3)*(1+Assumptions!$B$4)),"")</f>
        <v>138.285714285714</v>
      </c>
      <c r="Q160" s="2" t="n">
        <f aca="false">IF(M160="YES",G160*(1-Assumptions!$B$1-Assumptions!$B$2)/((1+Assumptions!$B$3)*(1+Assumptions!$B$5)),"")</f>
        <v>116.16</v>
      </c>
    </row>
    <row r="161" customFormat="false" ht="15" hidden="false" customHeight="false" outlineLevel="0" collapsed="false">
      <c r="A161" s="0" t="s">
        <v>93</v>
      </c>
      <c r="B161" s="0" t="n">
        <v>1</v>
      </c>
      <c r="C161" s="0" t="s">
        <v>114</v>
      </c>
      <c r="D161" s="0" t="s">
        <v>19</v>
      </c>
      <c r="E161" s="0" t="s">
        <v>26</v>
      </c>
      <c r="F161" s="2" t="n">
        <v>427</v>
      </c>
      <c r="G161" s="2" t="n">
        <v>314</v>
      </c>
      <c r="H161" s="2" t="n">
        <v>585</v>
      </c>
      <c r="I161" s="2" t="n">
        <v>405</v>
      </c>
      <c r="J161" s="3" t="s">
        <v>49</v>
      </c>
      <c r="K161" s="0" t="n">
        <v>13</v>
      </c>
      <c r="L161" s="3" t="s">
        <v>22</v>
      </c>
      <c r="M161" s="3" t="s">
        <v>23</v>
      </c>
      <c r="N161" s="2" t="n">
        <v>411.72</v>
      </c>
      <c r="O161" s="4" t="n">
        <v>-0.0357845433255268</v>
      </c>
      <c r="P161" s="2" t="n">
        <f aca="false">IF(M161="YES",G161*(1-Assumptions!$B$1-Assumptions!$B$2)/((1+Assumptions!$B$3)*(1+Assumptions!$B$4)),"")</f>
        <v>219.301587301587</v>
      </c>
      <c r="Q161" s="2" t="n">
        <f aca="false">IF(M161="YES",G161*(1-Assumptions!$B$1-Assumptions!$B$2)/((1+Assumptions!$B$3)*(1+Assumptions!$B$5)),"")</f>
        <v>184.213333333333</v>
      </c>
    </row>
    <row r="162" customFormat="false" ht="15" hidden="false" customHeight="false" outlineLevel="0" collapsed="false">
      <c r="A162" s="0" t="s">
        <v>93</v>
      </c>
      <c r="B162" s="0" t="n">
        <v>1</v>
      </c>
      <c r="C162" s="0" t="s">
        <v>114</v>
      </c>
      <c r="D162" s="0" t="s">
        <v>28</v>
      </c>
      <c r="E162" s="0" t="s">
        <v>20</v>
      </c>
      <c r="F162" s="2" t="n">
        <v>3924</v>
      </c>
      <c r="G162" s="2" t="n">
        <v>2972</v>
      </c>
      <c r="H162" s="2" t="n">
        <v>14274</v>
      </c>
      <c r="I162" s="2" t="n">
        <v>5000</v>
      </c>
      <c r="J162" s="3" t="s">
        <v>77</v>
      </c>
      <c r="K162" s="0" t="n">
        <v>2</v>
      </c>
      <c r="L162" s="3" t="s">
        <v>30</v>
      </c>
      <c r="M162" s="3" t="s">
        <v>31</v>
      </c>
      <c r="N162" s="2" t="n">
        <v>2731.9</v>
      </c>
      <c r="O162" s="4" t="n">
        <v>-0.303797145769623</v>
      </c>
      <c r="P162" s="2" t="str">
        <f aca="false">IF(M162="YES",G162*(1-Assumptions!$B$1-Assumptions!$B$2)/((1+Assumptions!$B$3)*(1+Assumptions!$B$4)),"")</f>
        <v/>
      </c>
      <c r="Q162" s="2" t="str">
        <f aca="false">IF(M162="YES",G162*(1-Assumptions!$B$1-Assumptions!$B$2)/((1+Assumptions!$B$3)*(1+Assumptions!$B$5)),"")</f>
        <v/>
      </c>
    </row>
    <row r="163" customFormat="false" ht="15" hidden="false" customHeight="false" outlineLevel="0" collapsed="false">
      <c r="A163" s="0" t="s">
        <v>93</v>
      </c>
      <c r="B163" s="0" t="n">
        <v>1</v>
      </c>
      <c r="C163" s="0" t="s">
        <v>114</v>
      </c>
      <c r="D163" s="0" t="s">
        <v>28</v>
      </c>
      <c r="E163" s="0" t="s">
        <v>24</v>
      </c>
      <c r="F163" s="2" t="n">
        <v>113</v>
      </c>
      <c r="G163" s="2" t="n">
        <v>90</v>
      </c>
      <c r="H163" s="2" t="n">
        <v>152</v>
      </c>
      <c r="I163" s="2" t="n">
        <v>85</v>
      </c>
      <c r="J163" s="3" t="s">
        <v>55</v>
      </c>
      <c r="K163" s="0" t="n">
        <v>17</v>
      </c>
      <c r="L163" s="3" t="s">
        <v>22</v>
      </c>
      <c r="M163" s="3" t="s">
        <v>23</v>
      </c>
      <c r="N163" s="2" t="n">
        <v>116.47</v>
      </c>
      <c r="O163" s="4" t="n">
        <v>0.0307079646017698</v>
      </c>
      <c r="P163" s="2" t="n">
        <f aca="false">IF(M163="YES",G163*(1-Assumptions!$B$1-Assumptions!$B$2)/((1+Assumptions!$B$3)*(1+Assumptions!$B$4)),"")</f>
        <v>62.8571428571429</v>
      </c>
      <c r="Q163" s="2" t="n">
        <f aca="false">IF(M163="YES",G163*(1-Assumptions!$B$1-Assumptions!$B$2)/((1+Assumptions!$B$3)*(1+Assumptions!$B$5)),"")</f>
        <v>52.8</v>
      </c>
    </row>
    <row r="164" customFormat="false" ht="15" hidden="false" customHeight="false" outlineLevel="0" collapsed="false">
      <c r="A164" s="0" t="s">
        <v>93</v>
      </c>
      <c r="B164" s="0" t="n">
        <v>1</v>
      </c>
      <c r="C164" s="0" t="s">
        <v>114</v>
      </c>
      <c r="D164" s="0" t="s">
        <v>28</v>
      </c>
      <c r="E164" s="0" t="s">
        <v>26</v>
      </c>
      <c r="F164" s="2" t="n">
        <v>200</v>
      </c>
      <c r="G164" s="2" t="n">
        <v>147</v>
      </c>
      <c r="H164" s="2" t="n">
        <v>275</v>
      </c>
      <c r="I164" s="2" t="n">
        <v>191</v>
      </c>
      <c r="J164" s="3" t="s">
        <v>32</v>
      </c>
      <c r="K164" s="0" t="n">
        <v>17</v>
      </c>
      <c r="L164" s="3" t="s">
        <v>22</v>
      </c>
      <c r="M164" s="3" t="s">
        <v>23</v>
      </c>
      <c r="N164" s="2" t="n">
        <v>198.01</v>
      </c>
      <c r="O164" s="4" t="n">
        <v>-0.00995</v>
      </c>
      <c r="P164" s="2" t="n">
        <f aca="false">IF(M164="YES",G164*(1-Assumptions!$B$1-Assumptions!$B$2)/((1+Assumptions!$B$3)*(1+Assumptions!$B$4)),"")</f>
        <v>102.666666666667</v>
      </c>
      <c r="Q164" s="2" t="n">
        <f aca="false">IF(M164="YES",G164*(1-Assumptions!$B$1-Assumptions!$B$2)/((1+Assumptions!$B$3)*(1+Assumptions!$B$5)),"")</f>
        <v>86.24</v>
      </c>
    </row>
    <row r="165" customFormat="false" ht="15" hidden="false" customHeight="false" outlineLevel="0" collapsed="false">
      <c r="A165" s="0" t="s">
        <v>93</v>
      </c>
      <c r="B165" s="0" t="n">
        <v>2</v>
      </c>
      <c r="C165" s="0" t="s">
        <v>115</v>
      </c>
      <c r="D165" s="0" t="s">
        <v>19</v>
      </c>
      <c r="E165" s="0" t="s">
        <v>20</v>
      </c>
      <c r="F165" s="2" t="n">
        <v>2454</v>
      </c>
      <c r="G165" s="2" t="n">
        <v>1901</v>
      </c>
      <c r="H165" s="2" t="n">
        <v>4174</v>
      </c>
      <c r="I165" s="2" t="n">
        <v>3500</v>
      </c>
      <c r="J165" s="3" t="s">
        <v>35</v>
      </c>
      <c r="K165" s="0" t="n">
        <v>38</v>
      </c>
      <c r="L165" s="3" t="s">
        <v>22</v>
      </c>
      <c r="M165" s="3" t="s">
        <v>23</v>
      </c>
      <c r="N165" s="2" t="n">
        <v>2297.47</v>
      </c>
      <c r="O165" s="4" t="n">
        <v>-0.0637856560717197</v>
      </c>
      <c r="P165" s="2" t="n">
        <f aca="false">IF(M165="YES",G165*(1-Assumptions!$B$1-Assumptions!$B$2)/((1+Assumptions!$B$3)*(1+Assumptions!$B$4)),"")</f>
        <v>1327.68253968254</v>
      </c>
      <c r="Q165" s="2" t="n">
        <f aca="false">IF(M165="YES",G165*(1-Assumptions!$B$1-Assumptions!$B$2)/((1+Assumptions!$B$3)*(1+Assumptions!$B$5)),"")</f>
        <v>1115.25333333333</v>
      </c>
    </row>
    <row r="166" customFormat="false" ht="15" hidden="false" customHeight="false" outlineLevel="0" collapsed="false">
      <c r="A166" s="0" t="s">
        <v>93</v>
      </c>
      <c r="B166" s="0" t="n">
        <v>2</v>
      </c>
      <c r="C166" s="0" t="s">
        <v>115</v>
      </c>
      <c r="D166" s="0" t="s">
        <v>19</v>
      </c>
      <c r="E166" s="0" t="s">
        <v>24</v>
      </c>
      <c r="F166" s="2" t="n">
        <v>106</v>
      </c>
      <c r="G166" s="2" t="n">
        <v>84</v>
      </c>
      <c r="H166" s="2" t="n">
        <v>142</v>
      </c>
      <c r="I166" s="2" t="n">
        <v>107</v>
      </c>
      <c r="J166" s="3" t="s">
        <v>32</v>
      </c>
      <c r="K166" s="0" t="n">
        <v>21</v>
      </c>
      <c r="L166" s="3" t="s">
        <v>22</v>
      </c>
      <c r="M166" s="3" t="s">
        <v>23</v>
      </c>
      <c r="N166" s="2" t="n">
        <v>106.86</v>
      </c>
      <c r="O166" s="4" t="n">
        <v>0.0081132075471697</v>
      </c>
      <c r="P166" s="2" t="n">
        <f aca="false">IF(M166="YES",G166*(1-Assumptions!$B$1-Assumptions!$B$2)/((1+Assumptions!$B$3)*(1+Assumptions!$B$4)),"")</f>
        <v>58.6666666666667</v>
      </c>
      <c r="Q166" s="2" t="n">
        <f aca="false">IF(M166="YES",G166*(1-Assumptions!$B$1-Assumptions!$B$2)/((1+Assumptions!$B$3)*(1+Assumptions!$B$5)),"")</f>
        <v>49.28</v>
      </c>
    </row>
    <row r="167" customFormat="false" ht="15" hidden="false" customHeight="false" outlineLevel="0" collapsed="false">
      <c r="A167" s="0" t="s">
        <v>93</v>
      </c>
      <c r="B167" s="0" t="n">
        <v>2</v>
      </c>
      <c r="C167" s="0" t="s">
        <v>115</v>
      </c>
      <c r="D167" s="0" t="s">
        <v>19</v>
      </c>
      <c r="E167" s="0" t="s">
        <v>26</v>
      </c>
      <c r="F167" s="2" t="n">
        <v>194</v>
      </c>
      <c r="G167" s="2" t="n">
        <v>143</v>
      </c>
      <c r="H167" s="2" t="n">
        <v>265</v>
      </c>
      <c r="I167" s="2" t="n">
        <v>210</v>
      </c>
      <c r="J167" s="3" t="s">
        <v>25</v>
      </c>
      <c r="K167" s="0" t="n">
        <v>18</v>
      </c>
      <c r="L167" s="3" t="s">
        <v>22</v>
      </c>
      <c r="M167" s="3" t="s">
        <v>23</v>
      </c>
      <c r="N167" s="2" t="n">
        <v>242.43</v>
      </c>
      <c r="O167" s="4" t="n">
        <v>0.249639175257732</v>
      </c>
      <c r="P167" s="2" t="n">
        <f aca="false">IF(M167="YES",G167*(1-Assumptions!$B$1-Assumptions!$B$2)/((1+Assumptions!$B$3)*(1+Assumptions!$B$4)),"")</f>
        <v>99.8730158730159</v>
      </c>
      <c r="Q167" s="2" t="n">
        <f aca="false">IF(M167="YES",G167*(1-Assumptions!$B$1-Assumptions!$B$2)/((1+Assumptions!$B$3)*(1+Assumptions!$B$5)),"")</f>
        <v>83.8933333333333</v>
      </c>
    </row>
    <row r="168" customFormat="false" ht="15" hidden="false" customHeight="false" outlineLevel="0" collapsed="false">
      <c r="A168" s="0" t="s">
        <v>93</v>
      </c>
      <c r="B168" s="0" t="n">
        <v>2</v>
      </c>
      <c r="C168" s="0" t="s">
        <v>115</v>
      </c>
      <c r="D168" s="0" t="s">
        <v>28</v>
      </c>
      <c r="E168" s="0" t="s">
        <v>20</v>
      </c>
      <c r="F168" s="2" t="n">
        <v>905</v>
      </c>
      <c r="G168" s="2" t="n">
        <v>686</v>
      </c>
      <c r="H168" s="2" t="n">
        <v>3293</v>
      </c>
      <c r="I168" s="2" t="n">
        <v>560</v>
      </c>
      <c r="J168" s="3" t="s">
        <v>116</v>
      </c>
      <c r="K168" s="0" t="n">
        <v>1</v>
      </c>
      <c r="L168" s="3" t="s">
        <v>30</v>
      </c>
      <c r="M168" s="3" t="s">
        <v>31</v>
      </c>
      <c r="N168" s="2" t="n">
        <v>1225.72</v>
      </c>
      <c r="O168" s="4" t="n">
        <v>0.354386740331492</v>
      </c>
      <c r="P168" s="2" t="str">
        <f aca="false">IF(M168="YES",G168*(1-Assumptions!$B$1-Assumptions!$B$2)/((1+Assumptions!$B$3)*(1+Assumptions!$B$4)),"")</f>
        <v/>
      </c>
      <c r="Q168" s="2" t="str">
        <f aca="false">IF(M168="YES",G168*(1-Assumptions!$B$1-Assumptions!$B$2)/((1+Assumptions!$B$3)*(1+Assumptions!$B$5)),"")</f>
        <v/>
      </c>
    </row>
    <row r="169" customFormat="false" ht="15" hidden="false" customHeight="false" outlineLevel="0" collapsed="false">
      <c r="A169" s="0" t="s">
        <v>93</v>
      </c>
      <c r="B169" s="0" t="n">
        <v>2</v>
      </c>
      <c r="C169" s="0" t="s">
        <v>115</v>
      </c>
      <c r="D169" s="0" t="s">
        <v>28</v>
      </c>
      <c r="E169" s="0" t="s">
        <v>24</v>
      </c>
      <c r="F169" s="2" t="n">
        <v>55</v>
      </c>
      <c r="G169" s="2" t="n">
        <v>44</v>
      </c>
      <c r="H169" s="2" t="n">
        <v>74</v>
      </c>
      <c r="I169" s="2" t="n">
        <v>80</v>
      </c>
      <c r="J169" s="3" t="s">
        <v>25</v>
      </c>
      <c r="K169" s="0" t="n">
        <v>17</v>
      </c>
      <c r="L169" s="3" t="s">
        <v>22</v>
      </c>
      <c r="M169" s="3" t="s">
        <v>23</v>
      </c>
      <c r="N169" s="2" t="n">
        <v>70.65</v>
      </c>
      <c r="O169" s="4" t="n">
        <v>0.284545454545455</v>
      </c>
      <c r="P169" s="2" t="n">
        <f aca="false">IF(M169="YES",G169*(1-Assumptions!$B$1-Assumptions!$B$2)/((1+Assumptions!$B$3)*(1+Assumptions!$B$4)),"")</f>
        <v>30.7301587301587</v>
      </c>
      <c r="Q169" s="2" t="n">
        <f aca="false">IF(M169="YES",G169*(1-Assumptions!$B$1-Assumptions!$B$2)/((1+Assumptions!$B$3)*(1+Assumptions!$B$5)),"")</f>
        <v>25.8133333333333</v>
      </c>
    </row>
    <row r="170" customFormat="false" ht="15" hidden="false" customHeight="false" outlineLevel="0" collapsed="false">
      <c r="A170" s="0" t="s">
        <v>93</v>
      </c>
      <c r="B170" s="0" t="n">
        <v>2</v>
      </c>
      <c r="C170" s="0" t="s">
        <v>115</v>
      </c>
      <c r="D170" s="0" t="s">
        <v>28</v>
      </c>
      <c r="E170" s="0" t="s">
        <v>26</v>
      </c>
      <c r="F170" s="2" t="n">
        <v>115</v>
      </c>
      <c r="G170" s="2" t="n">
        <v>84</v>
      </c>
      <c r="H170" s="2" t="n">
        <v>157</v>
      </c>
      <c r="I170" s="2" t="n">
        <v>129</v>
      </c>
      <c r="J170" s="3" t="s">
        <v>48</v>
      </c>
      <c r="K170" s="0" t="n">
        <v>12</v>
      </c>
      <c r="L170" s="3" t="s">
        <v>22</v>
      </c>
      <c r="M170" s="3" t="s">
        <v>23</v>
      </c>
      <c r="N170" s="2" t="n">
        <v>117.61</v>
      </c>
      <c r="O170" s="4" t="n">
        <v>0.022695652173913</v>
      </c>
      <c r="P170" s="2" t="n">
        <f aca="false">IF(M170="YES",G170*(1-Assumptions!$B$1-Assumptions!$B$2)/((1+Assumptions!$B$3)*(1+Assumptions!$B$4)),"")</f>
        <v>58.6666666666667</v>
      </c>
      <c r="Q170" s="2" t="n">
        <f aca="false">IF(M170="YES",G170*(1-Assumptions!$B$1-Assumptions!$B$2)/((1+Assumptions!$B$3)*(1+Assumptions!$B$5)),"")</f>
        <v>49.28</v>
      </c>
    </row>
    <row r="171" customFormat="false" ht="15" hidden="false" customHeight="false" outlineLevel="0" collapsed="false">
      <c r="A171" s="0" t="s">
        <v>93</v>
      </c>
      <c r="B171" s="0" t="n">
        <v>3</v>
      </c>
      <c r="C171" s="0" t="s">
        <v>117</v>
      </c>
      <c r="D171" s="0" t="s">
        <v>19</v>
      </c>
      <c r="E171" s="0" t="s">
        <v>20</v>
      </c>
      <c r="F171" s="2" t="n">
        <v>21040</v>
      </c>
      <c r="G171" s="2" t="n">
        <v>16295</v>
      </c>
      <c r="H171" s="2" t="n">
        <v>35779</v>
      </c>
      <c r="I171" s="2" t="n">
        <v>30000</v>
      </c>
      <c r="J171" s="3" t="s">
        <v>25</v>
      </c>
      <c r="K171" s="0" t="n">
        <v>22</v>
      </c>
      <c r="L171" s="3" t="s">
        <v>22</v>
      </c>
      <c r="M171" s="3" t="s">
        <v>23</v>
      </c>
      <c r="N171" s="2" t="n">
        <v>22205.92</v>
      </c>
      <c r="O171" s="4" t="n">
        <v>0.0554144486692014</v>
      </c>
      <c r="P171" s="2" t="n">
        <f aca="false">IF(M171="YES",G171*(1-Assumptions!$B$1-Assumptions!$B$2)/((1+Assumptions!$B$3)*(1+Assumptions!$B$4)),"")</f>
        <v>11380.6349206349</v>
      </c>
      <c r="Q171" s="2" t="n">
        <f aca="false">IF(M171="YES",G171*(1-Assumptions!$B$1-Assumptions!$B$2)/((1+Assumptions!$B$3)*(1+Assumptions!$B$5)),"")</f>
        <v>9559.73333333333</v>
      </c>
    </row>
    <row r="172" customFormat="false" ht="15" hidden="false" customHeight="false" outlineLevel="0" collapsed="false">
      <c r="A172" s="0" t="s">
        <v>93</v>
      </c>
      <c r="B172" s="0" t="n">
        <v>3</v>
      </c>
      <c r="C172" s="0" t="s">
        <v>117</v>
      </c>
      <c r="D172" s="0" t="s">
        <v>19</v>
      </c>
      <c r="E172" s="0" t="s">
        <v>24</v>
      </c>
      <c r="F172" s="2" t="n">
        <v>642</v>
      </c>
      <c r="G172" s="2" t="n">
        <v>508</v>
      </c>
      <c r="H172" s="2" t="n">
        <v>860</v>
      </c>
      <c r="I172" s="2" t="n">
        <v>525</v>
      </c>
      <c r="J172" s="3" t="s">
        <v>43</v>
      </c>
      <c r="K172" s="0" t="n">
        <v>12</v>
      </c>
      <c r="L172" s="3" t="s">
        <v>22</v>
      </c>
      <c r="M172" s="3" t="s">
        <v>23</v>
      </c>
      <c r="N172" s="2" t="n">
        <v>664.11</v>
      </c>
      <c r="O172" s="4" t="n">
        <v>0.0344392523364485</v>
      </c>
      <c r="P172" s="2" t="n">
        <f aca="false">IF(M172="YES",G172*(1-Assumptions!$B$1-Assumptions!$B$2)/((1+Assumptions!$B$3)*(1+Assumptions!$B$4)),"")</f>
        <v>354.793650793651</v>
      </c>
      <c r="Q172" s="2" t="n">
        <f aca="false">IF(M172="YES",G172*(1-Assumptions!$B$1-Assumptions!$B$2)/((1+Assumptions!$B$3)*(1+Assumptions!$B$5)),"")</f>
        <v>298.026666666667</v>
      </c>
    </row>
    <row r="173" customFormat="false" ht="15" hidden="false" customHeight="false" outlineLevel="0" collapsed="false">
      <c r="A173" s="0" t="s">
        <v>93</v>
      </c>
      <c r="B173" s="0" t="n">
        <v>3</v>
      </c>
      <c r="C173" s="0" t="s">
        <v>117</v>
      </c>
      <c r="D173" s="0" t="s">
        <v>19</v>
      </c>
      <c r="E173" s="0" t="s">
        <v>26</v>
      </c>
      <c r="F173" s="2" t="n">
        <v>1375</v>
      </c>
      <c r="G173" s="2" t="n">
        <v>1013</v>
      </c>
      <c r="H173" s="2" t="n">
        <v>1885</v>
      </c>
      <c r="I173" s="2" t="n">
        <v>1425</v>
      </c>
      <c r="J173" s="3" t="s">
        <v>35</v>
      </c>
      <c r="K173" s="0" t="n">
        <v>18</v>
      </c>
      <c r="L173" s="3" t="s">
        <v>22</v>
      </c>
      <c r="M173" s="3" t="s">
        <v>23</v>
      </c>
      <c r="N173" s="2" t="n">
        <v>1410.59</v>
      </c>
      <c r="O173" s="4" t="n">
        <v>0.0258836363636363</v>
      </c>
      <c r="P173" s="2" t="n">
        <f aca="false">IF(M173="YES",G173*(1-Assumptions!$B$1-Assumptions!$B$2)/((1+Assumptions!$B$3)*(1+Assumptions!$B$4)),"")</f>
        <v>707.492063492064</v>
      </c>
      <c r="Q173" s="2" t="n">
        <f aca="false">IF(M173="YES",G173*(1-Assumptions!$B$1-Assumptions!$B$2)/((1+Assumptions!$B$3)*(1+Assumptions!$B$5)),"")</f>
        <v>594.293333333333</v>
      </c>
    </row>
    <row r="174" customFormat="false" ht="15" hidden="false" customHeight="false" outlineLevel="0" collapsed="false">
      <c r="A174" s="0" t="s">
        <v>93</v>
      </c>
      <c r="B174" s="0" t="n">
        <v>3</v>
      </c>
      <c r="C174" s="0" t="s">
        <v>117</v>
      </c>
      <c r="D174" s="0" t="s">
        <v>28</v>
      </c>
      <c r="E174" s="0" t="s">
        <v>20</v>
      </c>
      <c r="F174" s="2" t="n">
        <v>5535</v>
      </c>
      <c r="G174" s="2" t="n">
        <v>4192</v>
      </c>
      <c r="H174" s="2" t="n">
        <v>20134</v>
      </c>
      <c r="I174" s="2" t="n">
        <v>1500</v>
      </c>
      <c r="J174" s="3" t="s">
        <v>118</v>
      </c>
      <c r="K174" s="0" t="n">
        <v>0</v>
      </c>
      <c r="L174" s="3" t="s">
        <v>30</v>
      </c>
      <c r="M174" s="3" t="s">
        <v>31</v>
      </c>
      <c r="N174" s="2" t="n">
        <v>3965</v>
      </c>
      <c r="O174" s="4" t="n">
        <v>-0.283649503161698</v>
      </c>
      <c r="P174" s="2" t="str">
        <f aca="false">IF(M174="YES",G174*(1-Assumptions!$B$1-Assumptions!$B$2)/((1+Assumptions!$B$3)*(1+Assumptions!$B$4)),"")</f>
        <v/>
      </c>
      <c r="Q174" s="2" t="str">
        <f aca="false">IF(M174="YES",G174*(1-Assumptions!$B$1-Assumptions!$B$2)/((1+Assumptions!$B$3)*(1+Assumptions!$B$5)),"")</f>
        <v/>
      </c>
    </row>
    <row r="175" customFormat="false" ht="15" hidden="false" customHeight="false" outlineLevel="0" collapsed="false">
      <c r="A175" s="0" t="s">
        <v>93</v>
      </c>
      <c r="B175" s="0" t="n">
        <v>3</v>
      </c>
      <c r="C175" s="0" t="s">
        <v>117</v>
      </c>
      <c r="D175" s="0" t="s">
        <v>28</v>
      </c>
      <c r="E175" s="0" t="s">
        <v>24</v>
      </c>
      <c r="F175" s="2" t="n">
        <v>280</v>
      </c>
      <c r="G175" s="2" t="n">
        <v>222</v>
      </c>
      <c r="H175" s="2" t="n">
        <v>376</v>
      </c>
      <c r="I175" s="2" t="n">
        <v>270</v>
      </c>
      <c r="J175" s="3" t="s">
        <v>32</v>
      </c>
      <c r="K175" s="0" t="n">
        <v>20</v>
      </c>
      <c r="L175" s="3" t="s">
        <v>22</v>
      </c>
      <c r="M175" s="3" t="s">
        <v>23</v>
      </c>
      <c r="N175" s="2" t="n">
        <v>285.05</v>
      </c>
      <c r="O175" s="4" t="n">
        <v>0.0180357142857143</v>
      </c>
      <c r="P175" s="2" t="n">
        <f aca="false">IF(M175="YES",G175*(1-Assumptions!$B$1-Assumptions!$B$2)/((1+Assumptions!$B$3)*(1+Assumptions!$B$4)),"")</f>
        <v>155.047619047619</v>
      </c>
      <c r="Q175" s="2" t="n">
        <f aca="false">IF(M175="YES",G175*(1-Assumptions!$B$1-Assumptions!$B$2)/((1+Assumptions!$B$3)*(1+Assumptions!$B$5)),"")</f>
        <v>130.24</v>
      </c>
    </row>
    <row r="176" customFormat="false" ht="15" hidden="false" customHeight="false" outlineLevel="0" collapsed="false">
      <c r="A176" s="0" t="s">
        <v>93</v>
      </c>
      <c r="B176" s="0" t="n">
        <v>3</v>
      </c>
      <c r="C176" s="0" t="s">
        <v>117</v>
      </c>
      <c r="D176" s="0" t="s">
        <v>28</v>
      </c>
      <c r="E176" s="0" t="s">
        <v>26</v>
      </c>
      <c r="F176" s="2" t="n">
        <v>565</v>
      </c>
      <c r="G176" s="2" t="n">
        <v>416</v>
      </c>
      <c r="H176" s="2" t="n">
        <v>775</v>
      </c>
      <c r="I176" s="2" t="n">
        <v>570</v>
      </c>
      <c r="J176" s="3" t="s">
        <v>119</v>
      </c>
      <c r="K176" s="0" t="n">
        <v>10</v>
      </c>
      <c r="L176" s="3" t="s">
        <v>22</v>
      </c>
      <c r="M176" s="3" t="s">
        <v>23</v>
      </c>
      <c r="N176" s="2" t="n">
        <v>493.73</v>
      </c>
      <c r="O176" s="4" t="n">
        <v>-0.126141592920354</v>
      </c>
      <c r="P176" s="2" t="n">
        <f aca="false">IF(M176="YES",G176*(1-Assumptions!$B$1-Assumptions!$B$2)/((1+Assumptions!$B$3)*(1+Assumptions!$B$4)),"")</f>
        <v>290.539682539683</v>
      </c>
      <c r="Q176" s="2" t="n">
        <f aca="false">IF(M176="YES",G176*(1-Assumptions!$B$1-Assumptions!$B$2)/((1+Assumptions!$B$3)*(1+Assumptions!$B$5)),"")</f>
        <v>244.053333333333</v>
      </c>
    </row>
    <row r="177" customFormat="false" ht="15" hidden="false" customHeight="false" outlineLevel="0" collapsed="false">
      <c r="A177" s="0" t="s">
        <v>93</v>
      </c>
      <c r="B177" s="0" t="n">
        <v>4</v>
      </c>
      <c r="C177" s="0" t="s">
        <v>120</v>
      </c>
      <c r="D177" s="0" t="s">
        <v>19</v>
      </c>
      <c r="E177" s="0" t="s">
        <v>20</v>
      </c>
      <c r="F177" s="2" t="n">
        <v>21992</v>
      </c>
      <c r="G177" s="2" t="n">
        <v>17032</v>
      </c>
      <c r="H177" s="2" t="n">
        <v>37397</v>
      </c>
      <c r="I177" s="2" t="n">
        <v>22769</v>
      </c>
      <c r="J177" s="3" t="s">
        <v>32</v>
      </c>
      <c r="K177" s="0" t="n">
        <v>66</v>
      </c>
      <c r="L177" s="3" t="s">
        <v>22</v>
      </c>
      <c r="M177" s="3" t="s">
        <v>23</v>
      </c>
      <c r="N177" s="2" t="n">
        <v>27698.1</v>
      </c>
      <c r="O177" s="4" t="n">
        <v>0.259462531829756</v>
      </c>
      <c r="P177" s="2" t="n">
        <f aca="false">IF(M177="YES",G177*(1-Assumptions!$B$1-Assumptions!$B$2)/((1+Assumptions!$B$3)*(1+Assumptions!$B$4)),"")</f>
        <v>11895.3650793651</v>
      </c>
      <c r="Q177" s="2" t="n">
        <f aca="false">IF(M177="YES",G177*(1-Assumptions!$B$1-Assumptions!$B$2)/((1+Assumptions!$B$3)*(1+Assumptions!$B$5)),"")</f>
        <v>9992.10666666667</v>
      </c>
    </row>
    <row r="178" customFormat="false" ht="15" hidden="false" customHeight="false" outlineLevel="0" collapsed="false">
      <c r="A178" s="0" t="s">
        <v>93</v>
      </c>
      <c r="B178" s="0" t="n">
        <v>4</v>
      </c>
      <c r="C178" s="0" t="s">
        <v>120</v>
      </c>
      <c r="D178" s="0" t="s">
        <v>19</v>
      </c>
      <c r="E178" s="0" t="s">
        <v>24</v>
      </c>
      <c r="F178" s="2" t="n">
        <v>1306</v>
      </c>
      <c r="G178" s="2" t="n">
        <v>1034</v>
      </c>
      <c r="H178" s="2" t="n">
        <v>1749</v>
      </c>
      <c r="I178" s="2" t="n">
        <v>1100</v>
      </c>
      <c r="J178" s="3" t="s">
        <v>35</v>
      </c>
      <c r="K178" s="0" t="n">
        <v>16</v>
      </c>
      <c r="L178" s="3" t="s">
        <v>22</v>
      </c>
      <c r="M178" s="3" t="s">
        <v>23</v>
      </c>
      <c r="N178" s="2" t="n">
        <v>1268.08</v>
      </c>
      <c r="O178" s="4" t="n">
        <v>-0.0290352220520674</v>
      </c>
      <c r="P178" s="2" t="n">
        <f aca="false">IF(M178="YES",G178*(1-Assumptions!$B$1-Assumptions!$B$2)/((1+Assumptions!$B$3)*(1+Assumptions!$B$4)),"")</f>
        <v>722.15873015873</v>
      </c>
      <c r="Q178" s="2" t="n">
        <f aca="false">IF(M178="YES",G178*(1-Assumptions!$B$1-Assumptions!$B$2)/((1+Assumptions!$B$3)*(1+Assumptions!$B$5)),"")</f>
        <v>606.613333333333</v>
      </c>
    </row>
    <row r="179" customFormat="false" ht="15" hidden="false" customHeight="false" outlineLevel="0" collapsed="false">
      <c r="A179" s="0" t="s">
        <v>93</v>
      </c>
      <c r="B179" s="0" t="n">
        <v>4</v>
      </c>
      <c r="C179" s="0" t="s">
        <v>120</v>
      </c>
      <c r="D179" s="0" t="s">
        <v>19</v>
      </c>
      <c r="E179" s="0" t="s">
        <v>26</v>
      </c>
      <c r="F179" s="2" t="n">
        <v>2758</v>
      </c>
      <c r="G179" s="2" t="n">
        <v>2031</v>
      </c>
      <c r="H179" s="2" t="n">
        <v>3782</v>
      </c>
      <c r="I179" s="2" t="n">
        <v>2900</v>
      </c>
      <c r="J179" s="3" t="s">
        <v>42</v>
      </c>
      <c r="K179" s="0" t="n">
        <v>12</v>
      </c>
      <c r="L179" s="3" t="s">
        <v>22</v>
      </c>
      <c r="M179" s="3" t="s">
        <v>23</v>
      </c>
      <c r="N179" s="2" t="n">
        <v>2703.63</v>
      </c>
      <c r="O179" s="4" t="n">
        <v>-0.0197135605511239</v>
      </c>
      <c r="P179" s="2" t="n">
        <f aca="false">IF(M179="YES",G179*(1-Assumptions!$B$1-Assumptions!$B$2)/((1+Assumptions!$B$3)*(1+Assumptions!$B$4)),"")</f>
        <v>1418.47619047619</v>
      </c>
      <c r="Q179" s="2" t="n">
        <f aca="false">IF(M179="YES",G179*(1-Assumptions!$B$1-Assumptions!$B$2)/((1+Assumptions!$B$3)*(1+Assumptions!$B$5)),"")</f>
        <v>1191.52</v>
      </c>
    </row>
    <row r="180" customFormat="false" ht="15" hidden="false" customHeight="false" outlineLevel="0" collapsed="false">
      <c r="A180" s="0" t="s">
        <v>93</v>
      </c>
      <c r="B180" s="0" t="n">
        <v>4</v>
      </c>
      <c r="C180" s="0" t="s">
        <v>120</v>
      </c>
      <c r="D180" s="0" t="s">
        <v>28</v>
      </c>
      <c r="E180" s="0" t="s">
        <v>20</v>
      </c>
      <c r="F180" s="2" t="n">
        <v>9636</v>
      </c>
      <c r="G180" s="2" t="n">
        <v>7462</v>
      </c>
      <c r="H180" s="2" t="n">
        <v>16385</v>
      </c>
      <c r="I180" s="2" t="n">
        <v>8822</v>
      </c>
      <c r="J180" s="3" t="s">
        <v>121</v>
      </c>
      <c r="K180" s="0" t="n">
        <v>10</v>
      </c>
      <c r="L180" s="3" t="s">
        <v>22</v>
      </c>
      <c r="M180" s="3" t="s">
        <v>23</v>
      </c>
      <c r="N180" s="2" t="n">
        <v>11388.41</v>
      </c>
      <c r="O180" s="4" t="n">
        <v>0.181860730593607</v>
      </c>
      <c r="P180" s="2" t="n">
        <f aca="false">IF(M180="YES",G180*(1-Assumptions!$B$1-Assumptions!$B$2)/((1+Assumptions!$B$3)*(1+Assumptions!$B$4)),"")</f>
        <v>5211.55555555556</v>
      </c>
      <c r="Q180" s="2" t="n">
        <f aca="false">IF(M180="YES",G180*(1-Assumptions!$B$1-Assumptions!$B$2)/((1+Assumptions!$B$3)*(1+Assumptions!$B$5)),"")</f>
        <v>4377.70666666667</v>
      </c>
    </row>
    <row r="181" customFormat="false" ht="15" hidden="false" customHeight="false" outlineLevel="0" collapsed="false">
      <c r="A181" s="0" t="s">
        <v>93</v>
      </c>
      <c r="B181" s="0" t="n">
        <v>4</v>
      </c>
      <c r="C181" s="0" t="s">
        <v>120</v>
      </c>
      <c r="D181" s="0" t="s">
        <v>28</v>
      </c>
      <c r="E181" s="0" t="s">
        <v>24</v>
      </c>
      <c r="F181" s="2" t="n">
        <v>496</v>
      </c>
      <c r="G181" s="2" t="n">
        <v>392</v>
      </c>
      <c r="H181" s="2" t="n">
        <v>664</v>
      </c>
      <c r="I181" s="2" t="n">
        <v>554</v>
      </c>
      <c r="J181" s="3" t="s">
        <v>25</v>
      </c>
      <c r="K181" s="0" t="n">
        <v>16</v>
      </c>
      <c r="L181" s="3" t="s">
        <v>22</v>
      </c>
      <c r="M181" s="3" t="s">
        <v>23</v>
      </c>
      <c r="N181" s="2" t="n">
        <v>516.92</v>
      </c>
      <c r="O181" s="4" t="n">
        <v>0.0421774193548385</v>
      </c>
      <c r="P181" s="2" t="n">
        <f aca="false">IF(M181="YES",G181*(1-Assumptions!$B$1-Assumptions!$B$2)/((1+Assumptions!$B$3)*(1+Assumptions!$B$4)),"")</f>
        <v>273.777777777778</v>
      </c>
      <c r="Q181" s="2" t="n">
        <f aca="false">IF(M181="YES",G181*(1-Assumptions!$B$1-Assumptions!$B$2)/((1+Assumptions!$B$3)*(1+Assumptions!$B$5)),"")</f>
        <v>229.973333333333</v>
      </c>
    </row>
    <row r="182" customFormat="false" ht="15" hidden="false" customHeight="false" outlineLevel="0" collapsed="false">
      <c r="A182" s="0" t="s">
        <v>93</v>
      </c>
      <c r="B182" s="0" t="n">
        <v>4</v>
      </c>
      <c r="C182" s="0" t="s">
        <v>120</v>
      </c>
      <c r="D182" s="0" t="s">
        <v>28</v>
      </c>
      <c r="E182" s="0" t="s">
        <v>26</v>
      </c>
      <c r="F182" s="2" t="n">
        <v>917</v>
      </c>
      <c r="G182" s="2" t="n">
        <v>675</v>
      </c>
      <c r="H182" s="2" t="n">
        <v>1257</v>
      </c>
      <c r="I182" s="2" t="n">
        <v>900</v>
      </c>
      <c r="J182" s="3" t="s">
        <v>53</v>
      </c>
      <c r="K182" s="0" t="n">
        <v>11</v>
      </c>
      <c r="L182" s="3" t="s">
        <v>22</v>
      </c>
      <c r="M182" s="3" t="s">
        <v>23</v>
      </c>
      <c r="N182" s="2" t="n">
        <v>930.72</v>
      </c>
      <c r="O182" s="4" t="n">
        <v>0.0149618320610687</v>
      </c>
      <c r="P182" s="2" t="n">
        <f aca="false">IF(M182="YES",G182*(1-Assumptions!$B$1-Assumptions!$B$2)/((1+Assumptions!$B$3)*(1+Assumptions!$B$4)),"")</f>
        <v>471.428571428571</v>
      </c>
      <c r="Q182" s="2" t="n">
        <f aca="false">IF(M182="YES",G182*(1-Assumptions!$B$1-Assumptions!$B$2)/((1+Assumptions!$B$3)*(1+Assumptions!$B$5)),"")</f>
        <v>396</v>
      </c>
    </row>
    <row r="183" customFormat="false" ht="15" hidden="false" customHeight="false" outlineLevel="0" collapsed="false">
      <c r="A183" s="0" t="s">
        <v>93</v>
      </c>
      <c r="B183" s="0" t="n">
        <v>5</v>
      </c>
      <c r="C183" s="0" t="s">
        <v>122</v>
      </c>
      <c r="D183" s="0" t="s">
        <v>19</v>
      </c>
      <c r="E183" s="0" t="s">
        <v>20</v>
      </c>
      <c r="F183" s="2" t="n">
        <v>21578</v>
      </c>
      <c r="G183" s="2" t="n">
        <v>16711</v>
      </c>
      <c r="H183" s="2" t="n">
        <v>36694</v>
      </c>
      <c r="I183" s="2" t="n">
        <v>26400</v>
      </c>
      <c r="J183" s="3" t="s">
        <v>41</v>
      </c>
      <c r="K183" s="0" t="n">
        <v>28</v>
      </c>
      <c r="L183" s="3" t="s">
        <v>22</v>
      </c>
      <c r="M183" s="3" t="s">
        <v>23</v>
      </c>
      <c r="N183" s="2" t="n">
        <v>22971.07</v>
      </c>
      <c r="O183" s="4" t="n">
        <v>0.0645597367689312</v>
      </c>
      <c r="P183" s="2" t="n">
        <f aca="false">IF(M183="YES",G183*(1-Assumptions!$B$1-Assumptions!$B$2)/((1+Assumptions!$B$3)*(1+Assumptions!$B$4)),"")</f>
        <v>11671.1746031746</v>
      </c>
      <c r="Q183" s="2" t="n">
        <f aca="false">IF(M183="YES",G183*(1-Assumptions!$B$1-Assumptions!$B$2)/((1+Assumptions!$B$3)*(1+Assumptions!$B$5)),"")</f>
        <v>9803.78666666667</v>
      </c>
    </row>
    <row r="184" customFormat="false" ht="15" hidden="false" customHeight="false" outlineLevel="0" collapsed="false">
      <c r="A184" s="0" t="s">
        <v>93</v>
      </c>
      <c r="B184" s="0" t="n">
        <v>5</v>
      </c>
      <c r="C184" s="0" t="s">
        <v>122</v>
      </c>
      <c r="D184" s="0" t="s">
        <v>19</v>
      </c>
      <c r="E184" s="0" t="s">
        <v>24</v>
      </c>
      <c r="F184" s="2" t="n">
        <v>721</v>
      </c>
      <c r="G184" s="2" t="n">
        <v>570</v>
      </c>
      <c r="H184" s="2" t="n">
        <v>966</v>
      </c>
      <c r="I184" s="2" t="n">
        <v>671</v>
      </c>
      <c r="J184" s="3" t="s">
        <v>32</v>
      </c>
      <c r="K184" s="0" t="n">
        <v>12</v>
      </c>
      <c r="L184" s="3" t="s">
        <v>22</v>
      </c>
      <c r="M184" s="3" t="s">
        <v>23</v>
      </c>
      <c r="N184" s="2" t="n">
        <v>758.87</v>
      </c>
      <c r="O184" s="4" t="n">
        <v>0.0525242718446601</v>
      </c>
      <c r="P184" s="2" t="n">
        <f aca="false">IF(M184="YES",G184*(1-Assumptions!$B$1-Assumptions!$B$2)/((1+Assumptions!$B$3)*(1+Assumptions!$B$4)),"")</f>
        <v>398.095238095238</v>
      </c>
      <c r="Q184" s="2" t="n">
        <f aca="false">IF(M184="YES",G184*(1-Assumptions!$B$1-Assumptions!$B$2)/((1+Assumptions!$B$3)*(1+Assumptions!$B$5)),"")</f>
        <v>334.4</v>
      </c>
    </row>
    <row r="185" customFormat="false" ht="15" hidden="false" customHeight="false" outlineLevel="0" collapsed="false">
      <c r="A185" s="0" t="s">
        <v>93</v>
      </c>
      <c r="B185" s="0" t="n">
        <v>5</v>
      </c>
      <c r="C185" s="0" t="s">
        <v>122</v>
      </c>
      <c r="D185" s="0" t="s">
        <v>19</v>
      </c>
      <c r="E185" s="0" t="s">
        <v>26</v>
      </c>
      <c r="F185" s="2" t="n">
        <v>1586</v>
      </c>
      <c r="G185" s="2" t="n">
        <v>1168</v>
      </c>
      <c r="H185" s="2" t="n">
        <v>2175</v>
      </c>
      <c r="I185" s="2" t="n">
        <v>1617</v>
      </c>
      <c r="J185" s="3" t="s">
        <v>25</v>
      </c>
      <c r="K185" s="0" t="n">
        <v>12</v>
      </c>
      <c r="L185" s="3" t="s">
        <v>22</v>
      </c>
      <c r="M185" s="3" t="s">
        <v>23</v>
      </c>
      <c r="N185" s="2" t="n">
        <v>1610.14</v>
      </c>
      <c r="O185" s="4" t="n">
        <v>0.0152206809583859</v>
      </c>
      <c r="P185" s="2" t="n">
        <f aca="false">IF(M185="YES",G185*(1-Assumptions!$B$1-Assumptions!$B$2)/((1+Assumptions!$B$3)*(1+Assumptions!$B$4)),"")</f>
        <v>815.746031746032</v>
      </c>
      <c r="Q185" s="2" t="n">
        <f aca="false">IF(M185="YES",G185*(1-Assumptions!$B$1-Assumptions!$B$2)/((1+Assumptions!$B$3)*(1+Assumptions!$B$5)),"")</f>
        <v>685.226666666667</v>
      </c>
    </row>
    <row r="186" customFormat="false" ht="15" hidden="false" customHeight="false" outlineLevel="0" collapsed="false">
      <c r="A186" s="0" t="s">
        <v>93</v>
      </c>
      <c r="B186" s="0" t="n">
        <v>5</v>
      </c>
      <c r="C186" s="0" t="s">
        <v>122</v>
      </c>
      <c r="D186" s="0" t="s">
        <v>28</v>
      </c>
      <c r="E186" s="0" t="s">
        <v>20</v>
      </c>
      <c r="F186" s="2" t="n">
        <v>7507</v>
      </c>
      <c r="G186" s="2" t="n">
        <v>5814</v>
      </c>
      <c r="H186" s="2" t="n">
        <v>12766</v>
      </c>
      <c r="I186" s="2" t="n">
        <v>7600</v>
      </c>
      <c r="J186" s="3" t="s">
        <v>123</v>
      </c>
      <c r="K186" s="0" t="n">
        <v>6</v>
      </c>
      <c r="L186" s="3" t="s">
        <v>22</v>
      </c>
      <c r="M186" s="3" t="s">
        <v>23</v>
      </c>
      <c r="N186" s="2" t="n">
        <v>9833.33</v>
      </c>
      <c r="O186" s="4" t="n">
        <v>0.30988810443586</v>
      </c>
      <c r="P186" s="2" t="n">
        <f aca="false">IF(M186="YES",G186*(1-Assumptions!$B$1-Assumptions!$B$2)/((1+Assumptions!$B$3)*(1+Assumptions!$B$4)),"")</f>
        <v>4060.57142857143</v>
      </c>
      <c r="Q186" s="2" t="n">
        <f aca="false">IF(M186="YES",G186*(1-Assumptions!$B$1-Assumptions!$B$2)/((1+Assumptions!$B$3)*(1+Assumptions!$B$5)),"")</f>
        <v>3410.88</v>
      </c>
    </row>
    <row r="187" customFormat="false" ht="15" hidden="false" customHeight="false" outlineLevel="0" collapsed="false">
      <c r="A187" s="0" t="s">
        <v>93</v>
      </c>
      <c r="B187" s="0" t="n">
        <v>5</v>
      </c>
      <c r="C187" s="0" t="s">
        <v>122</v>
      </c>
      <c r="D187" s="0" t="s">
        <v>28</v>
      </c>
      <c r="E187" s="0" t="s">
        <v>24</v>
      </c>
      <c r="F187" s="2" t="n">
        <v>317</v>
      </c>
      <c r="G187" s="2" t="n">
        <v>251</v>
      </c>
      <c r="H187" s="2" t="n">
        <v>425</v>
      </c>
      <c r="I187" s="2" t="n">
        <v>315</v>
      </c>
      <c r="J187" s="3" t="s">
        <v>25</v>
      </c>
      <c r="K187" s="0" t="n">
        <v>13</v>
      </c>
      <c r="L187" s="3" t="s">
        <v>22</v>
      </c>
      <c r="M187" s="3" t="s">
        <v>23</v>
      </c>
      <c r="N187" s="2" t="n">
        <v>331.03</v>
      </c>
      <c r="O187" s="4" t="n">
        <v>0.0442586750788642</v>
      </c>
      <c r="P187" s="2" t="n">
        <f aca="false">IF(M187="YES",G187*(1-Assumptions!$B$1-Assumptions!$B$2)/((1+Assumptions!$B$3)*(1+Assumptions!$B$4)),"")</f>
        <v>175.301587301587</v>
      </c>
      <c r="Q187" s="2" t="n">
        <f aca="false">IF(M187="YES",G187*(1-Assumptions!$B$1-Assumptions!$B$2)/((1+Assumptions!$B$3)*(1+Assumptions!$B$5)),"")</f>
        <v>147.253333333333</v>
      </c>
    </row>
    <row r="188" customFormat="false" ht="15" hidden="false" customHeight="false" outlineLevel="0" collapsed="false">
      <c r="A188" s="0" t="s">
        <v>93</v>
      </c>
      <c r="B188" s="0" t="n">
        <v>5</v>
      </c>
      <c r="C188" s="0" t="s">
        <v>122</v>
      </c>
      <c r="D188" s="0" t="s">
        <v>28</v>
      </c>
      <c r="E188" s="0" t="s">
        <v>26</v>
      </c>
      <c r="F188" s="2" t="n">
        <v>688</v>
      </c>
      <c r="G188" s="2" t="n">
        <v>506</v>
      </c>
      <c r="H188" s="2" t="n">
        <v>943</v>
      </c>
      <c r="I188" s="2" t="n">
        <v>680</v>
      </c>
      <c r="J188" s="3" t="s">
        <v>42</v>
      </c>
      <c r="K188" s="0" t="n">
        <v>12</v>
      </c>
      <c r="L188" s="3" t="s">
        <v>22</v>
      </c>
      <c r="M188" s="3" t="s">
        <v>23</v>
      </c>
      <c r="N188" s="2" t="n">
        <v>656.43</v>
      </c>
      <c r="O188" s="4" t="n">
        <v>-0.0458866279069768</v>
      </c>
      <c r="P188" s="2" t="n">
        <f aca="false">IF(M188="YES",G188*(1-Assumptions!$B$1-Assumptions!$B$2)/((1+Assumptions!$B$3)*(1+Assumptions!$B$4)),"")</f>
        <v>353.396825396825</v>
      </c>
      <c r="Q188" s="2" t="n">
        <f aca="false">IF(M188="YES",G188*(1-Assumptions!$B$1-Assumptions!$B$2)/((1+Assumptions!$B$3)*(1+Assumptions!$B$5)),"")</f>
        <v>296.853333333333</v>
      </c>
    </row>
    <row r="189" customFormat="false" ht="15" hidden="false" customHeight="false" outlineLevel="0" collapsed="false">
      <c r="A189" s="0" t="s">
        <v>93</v>
      </c>
      <c r="B189" s="0" t="n">
        <v>6</v>
      </c>
      <c r="C189" s="0" t="s">
        <v>124</v>
      </c>
      <c r="D189" s="0" t="s">
        <v>19</v>
      </c>
      <c r="E189" s="0" t="s">
        <v>20</v>
      </c>
      <c r="F189" s="2" t="n">
        <v>3522</v>
      </c>
      <c r="G189" s="2" t="n">
        <v>2728</v>
      </c>
      <c r="H189" s="2" t="n">
        <v>5990</v>
      </c>
      <c r="I189" s="2" t="n">
        <v>4000</v>
      </c>
      <c r="J189" s="3" t="s">
        <v>72</v>
      </c>
      <c r="K189" s="0" t="n">
        <v>16</v>
      </c>
      <c r="L189" s="3" t="s">
        <v>22</v>
      </c>
      <c r="M189" s="3" t="s">
        <v>23</v>
      </c>
      <c r="N189" s="2" t="n">
        <v>3500</v>
      </c>
      <c r="O189" s="4" t="n">
        <v>-0.0062464508801817</v>
      </c>
      <c r="P189" s="2" t="n">
        <f aca="false">IF(M189="YES",G189*(1-Assumptions!$B$1-Assumptions!$B$2)/((1+Assumptions!$B$3)*(1+Assumptions!$B$4)),"")</f>
        <v>1905.26984126984</v>
      </c>
      <c r="Q189" s="2" t="n">
        <f aca="false">IF(M189="YES",G189*(1-Assumptions!$B$1-Assumptions!$B$2)/((1+Assumptions!$B$3)*(1+Assumptions!$B$5)),"")</f>
        <v>1600.42666666667</v>
      </c>
    </row>
    <row r="190" customFormat="false" ht="15" hidden="false" customHeight="false" outlineLevel="0" collapsed="false">
      <c r="A190" s="0" t="s">
        <v>93</v>
      </c>
      <c r="B190" s="0" t="n">
        <v>6</v>
      </c>
      <c r="C190" s="0" t="s">
        <v>124</v>
      </c>
      <c r="D190" s="0" t="s">
        <v>19</v>
      </c>
      <c r="E190" s="0" t="s">
        <v>24</v>
      </c>
      <c r="F190" s="2" t="n">
        <v>154</v>
      </c>
      <c r="G190" s="2" t="n">
        <v>122</v>
      </c>
      <c r="H190" s="2" t="n">
        <v>206</v>
      </c>
      <c r="I190" s="2" t="n">
        <v>160</v>
      </c>
      <c r="J190" s="3" t="s">
        <v>35</v>
      </c>
      <c r="K190" s="0" t="n">
        <v>21</v>
      </c>
      <c r="L190" s="3" t="s">
        <v>22</v>
      </c>
      <c r="M190" s="3" t="s">
        <v>23</v>
      </c>
      <c r="N190" s="2" t="n">
        <v>157.32</v>
      </c>
      <c r="O190" s="4" t="n">
        <v>0.0215584415584415</v>
      </c>
      <c r="P190" s="2" t="n">
        <f aca="false">IF(M190="YES",G190*(1-Assumptions!$B$1-Assumptions!$B$2)/((1+Assumptions!$B$3)*(1+Assumptions!$B$4)),"")</f>
        <v>85.2063492063492</v>
      </c>
      <c r="Q190" s="2" t="n">
        <f aca="false">IF(M190="YES",G190*(1-Assumptions!$B$1-Assumptions!$B$2)/((1+Assumptions!$B$3)*(1+Assumptions!$B$5)),"")</f>
        <v>71.5733333333333</v>
      </c>
    </row>
    <row r="191" customFormat="false" ht="15" hidden="false" customHeight="false" outlineLevel="0" collapsed="false">
      <c r="A191" s="0" t="s">
        <v>93</v>
      </c>
      <c r="B191" s="0" t="n">
        <v>6</v>
      </c>
      <c r="C191" s="0" t="s">
        <v>124</v>
      </c>
      <c r="D191" s="0" t="s">
        <v>19</v>
      </c>
      <c r="E191" s="0" t="s">
        <v>26</v>
      </c>
      <c r="F191" s="2" t="n">
        <v>286</v>
      </c>
      <c r="G191" s="2" t="n">
        <v>211</v>
      </c>
      <c r="H191" s="2" t="n">
        <v>392</v>
      </c>
      <c r="I191" s="2" t="n">
        <v>285</v>
      </c>
      <c r="J191" s="3" t="s">
        <v>35</v>
      </c>
      <c r="K191" s="0" t="n">
        <v>17</v>
      </c>
      <c r="L191" s="3" t="s">
        <v>22</v>
      </c>
      <c r="M191" s="3" t="s">
        <v>23</v>
      </c>
      <c r="N191" s="2" t="n">
        <v>328.73</v>
      </c>
      <c r="O191" s="4" t="n">
        <v>0.149405594405595</v>
      </c>
      <c r="P191" s="2" t="n">
        <f aca="false">IF(M191="YES",G191*(1-Assumptions!$B$1-Assumptions!$B$2)/((1+Assumptions!$B$3)*(1+Assumptions!$B$4)),"")</f>
        <v>147.365079365079</v>
      </c>
      <c r="Q191" s="2" t="n">
        <f aca="false">IF(M191="YES",G191*(1-Assumptions!$B$1-Assumptions!$B$2)/((1+Assumptions!$B$3)*(1+Assumptions!$B$5)),"")</f>
        <v>123.786666666667</v>
      </c>
    </row>
    <row r="192" customFormat="false" ht="15" hidden="false" customHeight="false" outlineLevel="0" collapsed="false">
      <c r="A192" s="0" t="s">
        <v>93</v>
      </c>
      <c r="B192" s="0" t="n">
        <v>6</v>
      </c>
      <c r="C192" s="0" t="s">
        <v>124</v>
      </c>
      <c r="D192" s="0" t="s">
        <v>28</v>
      </c>
      <c r="E192" s="0" t="s">
        <v>20</v>
      </c>
      <c r="F192" s="2" t="n">
        <v>1346</v>
      </c>
      <c r="G192" s="2" t="n">
        <v>1019</v>
      </c>
      <c r="H192" s="2" t="n">
        <v>4895</v>
      </c>
      <c r="I192" s="2" t="n">
        <v>1259</v>
      </c>
      <c r="J192" s="3" t="s">
        <v>99</v>
      </c>
      <c r="K192" s="0" t="n">
        <v>2</v>
      </c>
      <c r="L192" s="3" t="s">
        <v>30</v>
      </c>
      <c r="M192" s="3" t="s">
        <v>31</v>
      </c>
      <c r="N192" s="2" t="n">
        <v>1259</v>
      </c>
      <c r="O192" s="4" t="n">
        <v>-0.0646359583952451</v>
      </c>
      <c r="P192" s="2" t="str">
        <f aca="false">IF(M192="YES",G192*(1-Assumptions!$B$1-Assumptions!$B$2)/((1+Assumptions!$B$3)*(1+Assumptions!$B$4)),"")</f>
        <v/>
      </c>
      <c r="Q192" s="2" t="str">
        <f aca="false">IF(M192="YES",G192*(1-Assumptions!$B$1-Assumptions!$B$2)/((1+Assumptions!$B$3)*(1+Assumptions!$B$5)),"")</f>
        <v/>
      </c>
    </row>
    <row r="193" customFormat="false" ht="15" hidden="false" customHeight="false" outlineLevel="0" collapsed="false">
      <c r="A193" s="0" t="s">
        <v>93</v>
      </c>
      <c r="B193" s="0" t="n">
        <v>6</v>
      </c>
      <c r="C193" s="0" t="s">
        <v>124</v>
      </c>
      <c r="D193" s="0" t="s">
        <v>28</v>
      </c>
      <c r="E193" s="0" t="s">
        <v>24</v>
      </c>
      <c r="F193" s="2" t="n">
        <v>84</v>
      </c>
      <c r="G193" s="2" t="n">
        <v>67</v>
      </c>
      <c r="H193" s="2" t="n">
        <v>113</v>
      </c>
      <c r="I193" s="2" t="n">
        <v>108</v>
      </c>
      <c r="J193" s="3" t="s">
        <v>32</v>
      </c>
      <c r="K193" s="0" t="n">
        <v>17</v>
      </c>
      <c r="L193" s="3" t="s">
        <v>22</v>
      </c>
      <c r="M193" s="3" t="s">
        <v>23</v>
      </c>
      <c r="N193" s="2" t="n">
        <v>90.37</v>
      </c>
      <c r="O193" s="4" t="n">
        <v>0.0758333333333334</v>
      </c>
      <c r="P193" s="2" t="n">
        <f aca="false">IF(M193="YES",G193*(1-Assumptions!$B$1-Assumptions!$B$2)/((1+Assumptions!$B$3)*(1+Assumptions!$B$4)),"")</f>
        <v>46.7936507936508</v>
      </c>
      <c r="Q193" s="2" t="n">
        <f aca="false">IF(M193="YES",G193*(1-Assumptions!$B$1-Assumptions!$B$2)/((1+Assumptions!$B$3)*(1+Assumptions!$B$5)),"")</f>
        <v>39.3066666666667</v>
      </c>
    </row>
    <row r="194" customFormat="false" ht="15" hidden="false" customHeight="false" outlineLevel="0" collapsed="false">
      <c r="A194" s="0" t="s">
        <v>93</v>
      </c>
      <c r="B194" s="0" t="n">
        <v>6</v>
      </c>
      <c r="C194" s="0" t="s">
        <v>124</v>
      </c>
      <c r="D194" s="0" t="s">
        <v>28</v>
      </c>
      <c r="E194" s="0" t="s">
        <v>26</v>
      </c>
      <c r="F194" s="2" t="n">
        <v>155</v>
      </c>
      <c r="G194" s="2" t="n">
        <v>114</v>
      </c>
      <c r="H194" s="2" t="n">
        <v>213</v>
      </c>
      <c r="I194" s="2" t="n">
        <v>169</v>
      </c>
      <c r="J194" s="3" t="s">
        <v>125</v>
      </c>
      <c r="K194" s="0" t="n">
        <v>13</v>
      </c>
      <c r="L194" s="3" t="s">
        <v>22</v>
      </c>
      <c r="M194" s="3" t="s">
        <v>23</v>
      </c>
      <c r="N194" s="2" t="n">
        <v>210.04</v>
      </c>
      <c r="O194" s="4" t="n">
        <v>0.355096774193548</v>
      </c>
      <c r="P194" s="2" t="n">
        <f aca="false">IF(M194="YES",G194*(1-Assumptions!$B$1-Assumptions!$B$2)/((1+Assumptions!$B$3)*(1+Assumptions!$B$4)),"")</f>
        <v>79.6190476190476</v>
      </c>
      <c r="Q194" s="2" t="n">
        <f aca="false">IF(M194="YES",G194*(1-Assumptions!$B$1-Assumptions!$B$2)/((1+Assumptions!$B$3)*(1+Assumptions!$B$5)),"")</f>
        <v>66.88</v>
      </c>
    </row>
    <row r="195" customFormat="false" ht="15" hidden="false" customHeight="false" outlineLevel="0" collapsed="false">
      <c r="A195" s="0" t="s">
        <v>93</v>
      </c>
      <c r="B195" s="0" t="n">
        <v>7</v>
      </c>
      <c r="C195" s="0" t="s">
        <v>126</v>
      </c>
      <c r="D195" s="0" t="s">
        <v>19</v>
      </c>
      <c r="E195" s="0" t="s">
        <v>20</v>
      </c>
      <c r="F195" s="2" t="n">
        <v>2269</v>
      </c>
      <c r="G195" s="2" t="n">
        <v>1757</v>
      </c>
      <c r="H195" s="2" t="n">
        <v>3858</v>
      </c>
      <c r="I195" s="2" t="n">
        <v>3000</v>
      </c>
      <c r="J195" s="3" t="s">
        <v>32</v>
      </c>
      <c r="K195" s="0" t="n">
        <v>40</v>
      </c>
      <c r="L195" s="3" t="s">
        <v>22</v>
      </c>
      <c r="M195" s="3" t="s">
        <v>23</v>
      </c>
      <c r="N195" s="2" t="n">
        <v>1544.83</v>
      </c>
      <c r="O195" s="4" t="n">
        <v>-0.319158219479947</v>
      </c>
      <c r="P195" s="2" t="n">
        <f aca="false">IF(M195="YES",G195*(1-Assumptions!$B$1-Assumptions!$B$2)/((1+Assumptions!$B$3)*(1+Assumptions!$B$4)),"")</f>
        <v>1227.11111111111</v>
      </c>
      <c r="Q195" s="2" t="n">
        <f aca="false">IF(M195="YES",G195*(1-Assumptions!$B$1-Assumptions!$B$2)/((1+Assumptions!$B$3)*(1+Assumptions!$B$5)),"")</f>
        <v>1030.77333333333</v>
      </c>
    </row>
    <row r="196" customFormat="false" ht="15" hidden="false" customHeight="false" outlineLevel="0" collapsed="false">
      <c r="A196" s="0" t="s">
        <v>93</v>
      </c>
      <c r="B196" s="0" t="n">
        <v>7</v>
      </c>
      <c r="C196" s="0" t="s">
        <v>126</v>
      </c>
      <c r="D196" s="0" t="s">
        <v>19</v>
      </c>
      <c r="E196" s="0" t="s">
        <v>24</v>
      </c>
      <c r="F196" s="2" t="n">
        <v>112</v>
      </c>
      <c r="G196" s="2" t="n">
        <v>89</v>
      </c>
      <c r="H196" s="2" t="n">
        <v>151</v>
      </c>
      <c r="I196" s="2" t="n">
        <v>114</v>
      </c>
      <c r="J196" s="3" t="s">
        <v>35</v>
      </c>
      <c r="K196" s="0" t="n">
        <v>19</v>
      </c>
      <c r="L196" s="3" t="s">
        <v>22</v>
      </c>
      <c r="M196" s="3" t="s">
        <v>23</v>
      </c>
      <c r="N196" s="2" t="n">
        <v>128.31</v>
      </c>
      <c r="O196" s="4" t="n">
        <v>0.145625</v>
      </c>
      <c r="P196" s="2" t="n">
        <f aca="false">IF(M196="YES",G196*(1-Assumptions!$B$1-Assumptions!$B$2)/((1+Assumptions!$B$3)*(1+Assumptions!$B$4)),"")</f>
        <v>62.1587301587302</v>
      </c>
      <c r="Q196" s="2" t="n">
        <f aca="false">IF(M196="YES",G196*(1-Assumptions!$B$1-Assumptions!$B$2)/((1+Assumptions!$B$3)*(1+Assumptions!$B$5)),"")</f>
        <v>52.2133333333333</v>
      </c>
    </row>
    <row r="197" customFormat="false" ht="15" hidden="false" customHeight="false" outlineLevel="0" collapsed="false">
      <c r="A197" s="0" t="s">
        <v>93</v>
      </c>
      <c r="B197" s="0" t="n">
        <v>7</v>
      </c>
      <c r="C197" s="0" t="s">
        <v>126</v>
      </c>
      <c r="D197" s="0" t="s">
        <v>19</v>
      </c>
      <c r="E197" s="0" t="s">
        <v>26</v>
      </c>
      <c r="F197" s="2" t="n">
        <v>210</v>
      </c>
      <c r="G197" s="2" t="n">
        <v>155</v>
      </c>
      <c r="H197" s="2" t="n">
        <v>288</v>
      </c>
      <c r="I197" s="2" t="n">
        <v>233</v>
      </c>
      <c r="J197" s="3" t="s">
        <v>42</v>
      </c>
      <c r="K197" s="0" t="n">
        <v>19</v>
      </c>
      <c r="L197" s="3" t="s">
        <v>22</v>
      </c>
      <c r="M197" s="3" t="s">
        <v>23</v>
      </c>
      <c r="N197" s="2" t="n">
        <v>209.07</v>
      </c>
      <c r="O197" s="4" t="n">
        <v>-0.0044285714285714</v>
      </c>
      <c r="P197" s="2" t="n">
        <f aca="false">IF(M197="YES",G197*(1-Assumptions!$B$1-Assumptions!$B$2)/((1+Assumptions!$B$3)*(1+Assumptions!$B$4)),"")</f>
        <v>108.253968253968</v>
      </c>
      <c r="Q197" s="2" t="n">
        <f aca="false">IF(M197="YES",G197*(1-Assumptions!$B$1-Assumptions!$B$2)/((1+Assumptions!$B$3)*(1+Assumptions!$B$5)),"")</f>
        <v>90.9333333333333</v>
      </c>
    </row>
    <row r="198" customFormat="false" ht="15" hidden="false" customHeight="false" outlineLevel="0" collapsed="false">
      <c r="A198" s="0" t="s">
        <v>93</v>
      </c>
      <c r="B198" s="0" t="n">
        <v>7</v>
      </c>
      <c r="C198" s="0" t="s">
        <v>126</v>
      </c>
      <c r="D198" s="0" t="s">
        <v>28</v>
      </c>
      <c r="E198" s="0" t="s">
        <v>20</v>
      </c>
      <c r="F198" s="2" t="n">
        <v>1001</v>
      </c>
      <c r="G198" s="2" t="n">
        <v>758</v>
      </c>
      <c r="H198" s="2" t="n">
        <v>3640</v>
      </c>
      <c r="I198" s="2" t="n">
        <v>310</v>
      </c>
      <c r="J198" s="3" t="s">
        <v>127</v>
      </c>
      <c r="K198" s="0" t="n">
        <v>0</v>
      </c>
      <c r="L198" s="3" t="s">
        <v>30</v>
      </c>
      <c r="M198" s="3" t="s">
        <v>31</v>
      </c>
      <c r="N198" s="2" t="n">
        <v>310</v>
      </c>
      <c r="O198" s="4" t="n">
        <v>-0.69030969030969</v>
      </c>
      <c r="P198" s="2" t="str">
        <f aca="false">IF(M198="YES",G198*(1-Assumptions!$B$1-Assumptions!$B$2)/((1+Assumptions!$B$3)*(1+Assumptions!$B$4)),"")</f>
        <v/>
      </c>
      <c r="Q198" s="2" t="str">
        <f aca="false">IF(M198="YES",G198*(1-Assumptions!$B$1-Assumptions!$B$2)/((1+Assumptions!$B$3)*(1+Assumptions!$B$5)),"")</f>
        <v/>
      </c>
    </row>
    <row r="199" customFormat="false" ht="15" hidden="false" customHeight="false" outlineLevel="0" collapsed="false">
      <c r="A199" s="0" t="s">
        <v>93</v>
      </c>
      <c r="B199" s="0" t="n">
        <v>7</v>
      </c>
      <c r="C199" s="0" t="s">
        <v>126</v>
      </c>
      <c r="D199" s="0" t="s">
        <v>28</v>
      </c>
      <c r="E199" s="0" t="s">
        <v>24</v>
      </c>
      <c r="F199" s="2" t="n">
        <v>84</v>
      </c>
      <c r="G199" s="2" t="n">
        <v>66</v>
      </c>
      <c r="H199" s="2" t="n">
        <v>112</v>
      </c>
      <c r="I199" s="2" t="n">
        <v>95</v>
      </c>
      <c r="J199" s="3" t="s">
        <v>25</v>
      </c>
      <c r="K199" s="0" t="n">
        <v>12</v>
      </c>
      <c r="L199" s="3" t="s">
        <v>22</v>
      </c>
      <c r="M199" s="3" t="s">
        <v>23</v>
      </c>
      <c r="N199" s="2" t="n">
        <v>89.48</v>
      </c>
      <c r="O199" s="4" t="n">
        <v>0.0652380952380953</v>
      </c>
      <c r="P199" s="2" t="n">
        <f aca="false">IF(M199="YES",G199*(1-Assumptions!$B$1-Assumptions!$B$2)/((1+Assumptions!$B$3)*(1+Assumptions!$B$4)),"")</f>
        <v>46.0952380952381</v>
      </c>
      <c r="Q199" s="2" t="n">
        <f aca="false">IF(M199="YES",G199*(1-Assumptions!$B$1-Assumptions!$B$2)/((1+Assumptions!$B$3)*(1+Assumptions!$B$5)),"")</f>
        <v>38.72</v>
      </c>
    </row>
    <row r="200" customFormat="false" ht="15" hidden="false" customHeight="false" outlineLevel="0" collapsed="false">
      <c r="A200" s="0" t="s">
        <v>93</v>
      </c>
      <c r="B200" s="0" t="n">
        <v>7</v>
      </c>
      <c r="C200" s="0" t="s">
        <v>126</v>
      </c>
      <c r="D200" s="0" t="s">
        <v>28</v>
      </c>
      <c r="E200" s="0" t="s">
        <v>26</v>
      </c>
      <c r="F200" s="2" t="n">
        <v>129</v>
      </c>
      <c r="G200" s="2" t="n">
        <v>95</v>
      </c>
      <c r="H200" s="2" t="n">
        <v>177</v>
      </c>
      <c r="I200" s="2" t="n">
        <v>126</v>
      </c>
      <c r="J200" s="3" t="s">
        <v>60</v>
      </c>
      <c r="K200" s="0" t="n">
        <v>12</v>
      </c>
      <c r="L200" s="3" t="s">
        <v>22</v>
      </c>
      <c r="M200" s="3" t="s">
        <v>23</v>
      </c>
      <c r="N200" s="2" t="n">
        <v>120</v>
      </c>
      <c r="O200" s="4" t="n">
        <v>-0.0697674418604651</v>
      </c>
      <c r="P200" s="2" t="n">
        <f aca="false">IF(M200="YES",G200*(1-Assumptions!$B$1-Assumptions!$B$2)/((1+Assumptions!$B$3)*(1+Assumptions!$B$4)),"")</f>
        <v>66.3492063492063</v>
      </c>
      <c r="Q200" s="2" t="n">
        <f aca="false">IF(M200="YES",G200*(1-Assumptions!$B$1-Assumptions!$B$2)/((1+Assumptions!$B$3)*(1+Assumptions!$B$5)),"")</f>
        <v>55.7333333333333</v>
      </c>
    </row>
    <row r="201" customFormat="false" ht="15" hidden="false" customHeight="false" outlineLevel="0" collapsed="false">
      <c r="A201" s="0" t="s">
        <v>93</v>
      </c>
      <c r="B201" s="0" t="n">
        <v>83</v>
      </c>
      <c r="C201" s="0" t="s">
        <v>128</v>
      </c>
      <c r="D201" s="0" t="s">
        <v>19</v>
      </c>
      <c r="E201" s="0" t="s">
        <v>20</v>
      </c>
      <c r="F201" s="2" t="n">
        <v>7154</v>
      </c>
      <c r="G201" s="2" t="n">
        <v>5540</v>
      </c>
      <c r="H201" s="2" t="n">
        <v>12165</v>
      </c>
      <c r="I201" s="2" t="n">
        <v>6000</v>
      </c>
      <c r="J201" s="3" t="s">
        <v>25</v>
      </c>
      <c r="K201" s="0" t="n">
        <v>32</v>
      </c>
      <c r="L201" s="3" t="s">
        <v>22</v>
      </c>
      <c r="M201" s="3" t="s">
        <v>23</v>
      </c>
      <c r="N201" s="2" t="n">
        <v>11896.81</v>
      </c>
      <c r="O201" s="4" t="n">
        <v>0.662959183673469</v>
      </c>
      <c r="P201" s="2" t="n">
        <f aca="false">IF(M201="YES",G201*(1-Assumptions!$B$1-Assumptions!$B$2)/((1+Assumptions!$B$3)*(1+Assumptions!$B$4)),"")</f>
        <v>3869.20634920635</v>
      </c>
      <c r="Q201" s="2" t="n">
        <f aca="false">IF(M201="YES",G201*(1-Assumptions!$B$1-Assumptions!$B$2)/((1+Assumptions!$B$3)*(1+Assumptions!$B$5)),"")</f>
        <v>3250.13333333333</v>
      </c>
    </row>
    <row r="202" customFormat="false" ht="15" hidden="false" customHeight="false" outlineLevel="0" collapsed="false">
      <c r="A202" s="0" t="s">
        <v>93</v>
      </c>
      <c r="B202" s="0" t="n">
        <v>83</v>
      </c>
      <c r="C202" s="0" t="s">
        <v>128</v>
      </c>
      <c r="D202" s="0" t="s">
        <v>19</v>
      </c>
      <c r="E202" s="0" t="s">
        <v>24</v>
      </c>
      <c r="F202" s="2" t="n">
        <v>391</v>
      </c>
      <c r="G202" s="2" t="n">
        <v>310</v>
      </c>
      <c r="H202" s="2" t="n">
        <v>525</v>
      </c>
      <c r="I202" s="2" t="n">
        <v>375</v>
      </c>
      <c r="J202" s="3" t="s">
        <v>27</v>
      </c>
      <c r="K202" s="0" t="n">
        <v>15</v>
      </c>
      <c r="L202" s="3" t="s">
        <v>22</v>
      </c>
      <c r="M202" s="3" t="s">
        <v>23</v>
      </c>
      <c r="N202" s="2" t="n">
        <v>410.35</v>
      </c>
      <c r="O202" s="4" t="n">
        <v>0.0494884910485933</v>
      </c>
      <c r="P202" s="2" t="n">
        <f aca="false">IF(M202="YES",G202*(1-Assumptions!$B$1-Assumptions!$B$2)/((1+Assumptions!$B$3)*(1+Assumptions!$B$4)),"")</f>
        <v>216.507936507937</v>
      </c>
      <c r="Q202" s="2" t="n">
        <f aca="false">IF(M202="YES",G202*(1-Assumptions!$B$1-Assumptions!$B$2)/((1+Assumptions!$B$3)*(1+Assumptions!$B$5)),"")</f>
        <v>181.866666666667</v>
      </c>
    </row>
    <row r="203" customFormat="false" ht="15" hidden="false" customHeight="false" outlineLevel="0" collapsed="false">
      <c r="A203" s="0" t="s">
        <v>93</v>
      </c>
      <c r="B203" s="0" t="n">
        <v>83</v>
      </c>
      <c r="C203" s="0" t="s">
        <v>128</v>
      </c>
      <c r="D203" s="0" t="s">
        <v>19</v>
      </c>
      <c r="E203" s="0" t="s">
        <v>26</v>
      </c>
      <c r="F203" s="2" t="n">
        <v>886</v>
      </c>
      <c r="G203" s="2" t="n">
        <v>653</v>
      </c>
      <c r="H203" s="2" t="n">
        <v>1215</v>
      </c>
      <c r="I203" s="2" t="n">
        <v>920</v>
      </c>
      <c r="J203" s="3" t="s">
        <v>129</v>
      </c>
      <c r="K203" s="0" t="n">
        <v>14</v>
      </c>
      <c r="L203" s="3" t="s">
        <v>22</v>
      </c>
      <c r="M203" s="3" t="s">
        <v>23</v>
      </c>
      <c r="N203" s="2" t="n">
        <v>983.86</v>
      </c>
      <c r="O203" s="4" t="n">
        <v>0.110451467268623</v>
      </c>
      <c r="P203" s="2" t="n">
        <f aca="false">IF(M203="YES",G203*(1-Assumptions!$B$1-Assumptions!$B$2)/((1+Assumptions!$B$3)*(1+Assumptions!$B$4)),"")</f>
        <v>456.063492063492</v>
      </c>
      <c r="Q203" s="2" t="n">
        <f aca="false">IF(M203="YES",G203*(1-Assumptions!$B$1-Assumptions!$B$2)/((1+Assumptions!$B$3)*(1+Assumptions!$B$5)),"")</f>
        <v>383.093333333333</v>
      </c>
    </row>
    <row r="204" customFormat="false" ht="15" hidden="false" customHeight="false" outlineLevel="0" collapsed="false">
      <c r="A204" s="0" t="s">
        <v>93</v>
      </c>
      <c r="B204" s="0" t="n">
        <v>83</v>
      </c>
      <c r="C204" s="0" t="s">
        <v>128</v>
      </c>
      <c r="D204" s="0" t="s">
        <v>28</v>
      </c>
      <c r="E204" s="0" t="s">
        <v>20</v>
      </c>
      <c r="F204" s="2" t="n">
        <v>6241</v>
      </c>
      <c r="G204" s="2" t="n">
        <v>4727</v>
      </c>
      <c r="H204" s="2" t="n">
        <v>22703</v>
      </c>
      <c r="I204" s="2" t="n">
        <v>7878</v>
      </c>
      <c r="J204" s="3" t="s">
        <v>130</v>
      </c>
      <c r="K204" s="0" t="n">
        <v>2</v>
      </c>
      <c r="L204" s="3" t="s">
        <v>30</v>
      </c>
      <c r="M204" s="3" t="s">
        <v>31</v>
      </c>
      <c r="N204" s="2" t="n">
        <v>7877.77</v>
      </c>
      <c r="O204" s="4" t="n">
        <v>0.26226085563211</v>
      </c>
      <c r="P204" s="2" t="str">
        <f aca="false">IF(M204="YES",G204*(1-Assumptions!$B$1-Assumptions!$B$2)/((1+Assumptions!$B$3)*(1+Assumptions!$B$4)),"")</f>
        <v/>
      </c>
      <c r="Q204" s="2" t="str">
        <f aca="false">IF(M204="YES",G204*(1-Assumptions!$B$1-Assumptions!$B$2)/((1+Assumptions!$B$3)*(1+Assumptions!$B$5)),"")</f>
        <v/>
      </c>
    </row>
    <row r="205" customFormat="false" ht="15" hidden="false" customHeight="false" outlineLevel="0" collapsed="false">
      <c r="A205" s="0" t="s">
        <v>93</v>
      </c>
      <c r="B205" s="0" t="n">
        <v>83</v>
      </c>
      <c r="C205" s="0" t="s">
        <v>128</v>
      </c>
      <c r="D205" s="0" t="s">
        <v>28</v>
      </c>
      <c r="E205" s="0" t="s">
        <v>24</v>
      </c>
      <c r="F205" s="2" t="n">
        <v>196</v>
      </c>
      <c r="G205" s="2" t="n">
        <v>155</v>
      </c>
      <c r="H205" s="2" t="n">
        <v>262</v>
      </c>
      <c r="I205" s="2" t="n">
        <v>232</v>
      </c>
      <c r="J205" s="3" t="s">
        <v>72</v>
      </c>
      <c r="K205" s="0" t="n">
        <v>13</v>
      </c>
      <c r="L205" s="3" t="s">
        <v>22</v>
      </c>
      <c r="M205" s="3" t="s">
        <v>23</v>
      </c>
      <c r="N205" s="2" t="n">
        <v>196.35</v>
      </c>
      <c r="O205" s="4" t="n">
        <v>0.0017857142857142</v>
      </c>
      <c r="P205" s="2" t="n">
        <f aca="false">IF(M205="YES",G205*(1-Assumptions!$B$1-Assumptions!$B$2)/((1+Assumptions!$B$3)*(1+Assumptions!$B$4)),"")</f>
        <v>108.253968253968</v>
      </c>
      <c r="Q205" s="2" t="n">
        <f aca="false">IF(M205="YES",G205*(1-Assumptions!$B$1-Assumptions!$B$2)/((1+Assumptions!$B$3)*(1+Assumptions!$B$5)),"")</f>
        <v>90.9333333333333</v>
      </c>
    </row>
    <row r="206" customFormat="false" ht="15" hidden="false" customHeight="false" outlineLevel="0" collapsed="false">
      <c r="A206" s="0" t="s">
        <v>93</v>
      </c>
      <c r="B206" s="0" t="n">
        <v>83</v>
      </c>
      <c r="C206" s="0" t="s">
        <v>128</v>
      </c>
      <c r="D206" s="0" t="s">
        <v>28</v>
      </c>
      <c r="E206" s="0" t="s">
        <v>26</v>
      </c>
      <c r="F206" s="2" t="n">
        <v>383</v>
      </c>
      <c r="G206" s="2" t="n">
        <v>282</v>
      </c>
      <c r="H206" s="2" t="n">
        <v>525</v>
      </c>
      <c r="I206" s="2" t="n">
        <v>428</v>
      </c>
      <c r="J206" s="3" t="s">
        <v>60</v>
      </c>
      <c r="K206" s="0" t="n">
        <v>17</v>
      </c>
      <c r="L206" s="3" t="s">
        <v>22</v>
      </c>
      <c r="M206" s="3" t="s">
        <v>23</v>
      </c>
      <c r="N206" s="2" t="n">
        <v>389.4</v>
      </c>
      <c r="O206" s="4" t="n">
        <v>0.0167101827676239</v>
      </c>
      <c r="P206" s="2" t="n">
        <f aca="false">IF(M206="YES",G206*(1-Assumptions!$B$1-Assumptions!$B$2)/((1+Assumptions!$B$3)*(1+Assumptions!$B$4)),"")</f>
        <v>196.952380952381</v>
      </c>
      <c r="Q206" s="2" t="n">
        <f aca="false">IF(M206="YES",G206*(1-Assumptions!$B$1-Assumptions!$B$2)/((1+Assumptions!$B$3)*(1+Assumptions!$B$5)),"")</f>
        <v>165.44</v>
      </c>
    </row>
    <row r="207" customFormat="false" ht="15" hidden="false" customHeight="false" outlineLevel="0" collapsed="false">
      <c r="A207" s="0" t="s">
        <v>93</v>
      </c>
      <c r="B207" s="0" t="n">
        <v>8</v>
      </c>
      <c r="C207" s="0" t="s">
        <v>131</v>
      </c>
      <c r="D207" s="0" t="s">
        <v>19</v>
      </c>
      <c r="E207" s="0" t="s">
        <v>20</v>
      </c>
      <c r="F207" s="2" t="n">
        <v>4938</v>
      </c>
      <c r="G207" s="2" t="n">
        <v>3824</v>
      </c>
      <c r="H207" s="2" t="n">
        <v>8396</v>
      </c>
      <c r="I207" s="2" t="n">
        <v>5646</v>
      </c>
      <c r="J207" s="3" t="s">
        <v>35</v>
      </c>
      <c r="K207" s="0" t="n">
        <v>63</v>
      </c>
      <c r="L207" s="3" t="s">
        <v>22</v>
      </c>
      <c r="M207" s="3" t="s">
        <v>23</v>
      </c>
      <c r="N207" s="2" t="n">
        <v>5832.13</v>
      </c>
      <c r="O207" s="4" t="n">
        <v>0.181071283920616</v>
      </c>
      <c r="P207" s="2" t="n">
        <f aca="false">IF(M207="YES",G207*(1-Assumptions!$B$1-Assumptions!$B$2)/((1+Assumptions!$B$3)*(1+Assumptions!$B$4)),"")</f>
        <v>2670.73015873016</v>
      </c>
      <c r="Q207" s="2" t="n">
        <f aca="false">IF(M207="YES",G207*(1-Assumptions!$B$1-Assumptions!$B$2)/((1+Assumptions!$B$3)*(1+Assumptions!$B$5)),"")</f>
        <v>2243.41333333333</v>
      </c>
    </row>
    <row r="208" customFormat="false" ht="15" hidden="false" customHeight="false" outlineLevel="0" collapsed="false">
      <c r="A208" s="0" t="s">
        <v>93</v>
      </c>
      <c r="B208" s="0" t="n">
        <v>8</v>
      </c>
      <c r="C208" s="0" t="s">
        <v>131</v>
      </c>
      <c r="D208" s="0" t="s">
        <v>19</v>
      </c>
      <c r="E208" s="0" t="s">
        <v>24</v>
      </c>
      <c r="F208" s="2" t="n">
        <v>266</v>
      </c>
      <c r="G208" s="2" t="n">
        <v>211</v>
      </c>
      <c r="H208" s="2" t="n">
        <v>357</v>
      </c>
      <c r="I208" s="2" t="n">
        <v>260</v>
      </c>
      <c r="J208" s="3" t="s">
        <v>46</v>
      </c>
      <c r="K208" s="0" t="n">
        <v>18</v>
      </c>
      <c r="L208" s="3" t="s">
        <v>22</v>
      </c>
      <c r="M208" s="3" t="s">
        <v>23</v>
      </c>
      <c r="N208" s="2" t="n">
        <v>267.41</v>
      </c>
      <c r="O208" s="4" t="n">
        <v>0.0053007518796992</v>
      </c>
      <c r="P208" s="2" t="n">
        <f aca="false">IF(M208="YES",G208*(1-Assumptions!$B$1-Assumptions!$B$2)/((1+Assumptions!$B$3)*(1+Assumptions!$B$4)),"")</f>
        <v>147.365079365079</v>
      </c>
      <c r="Q208" s="2" t="n">
        <f aca="false">IF(M208="YES",G208*(1-Assumptions!$B$1-Assumptions!$B$2)/((1+Assumptions!$B$3)*(1+Assumptions!$B$5)),"")</f>
        <v>123.786666666667</v>
      </c>
    </row>
    <row r="209" customFormat="false" ht="15" hidden="false" customHeight="false" outlineLevel="0" collapsed="false">
      <c r="A209" s="0" t="s">
        <v>93</v>
      </c>
      <c r="B209" s="0" t="n">
        <v>8</v>
      </c>
      <c r="C209" s="0" t="s">
        <v>131</v>
      </c>
      <c r="D209" s="0" t="s">
        <v>19</v>
      </c>
      <c r="E209" s="0" t="s">
        <v>26</v>
      </c>
      <c r="F209" s="2" t="n">
        <v>549</v>
      </c>
      <c r="G209" s="2" t="n">
        <v>404</v>
      </c>
      <c r="H209" s="2" t="n">
        <v>752</v>
      </c>
      <c r="I209" s="2" t="n">
        <v>561</v>
      </c>
      <c r="J209" s="3" t="s">
        <v>49</v>
      </c>
      <c r="K209" s="0" t="n">
        <v>14</v>
      </c>
      <c r="L209" s="3" t="s">
        <v>22</v>
      </c>
      <c r="M209" s="3" t="s">
        <v>23</v>
      </c>
      <c r="N209" s="2" t="n">
        <v>585.18</v>
      </c>
      <c r="O209" s="4" t="n">
        <v>0.0659016393442621</v>
      </c>
      <c r="P209" s="2" t="n">
        <f aca="false">IF(M209="YES",G209*(1-Assumptions!$B$1-Assumptions!$B$2)/((1+Assumptions!$B$3)*(1+Assumptions!$B$4)),"")</f>
        <v>282.15873015873</v>
      </c>
      <c r="Q209" s="2" t="n">
        <f aca="false">IF(M209="YES",G209*(1-Assumptions!$B$1-Assumptions!$B$2)/((1+Assumptions!$B$3)*(1+Assumptions!$B$5)),"")</f>
        <v>237.013333333333</v>
      </c>
    </row>
    <row r="210" customFormat="false" ht="15" hidden="false" customHeight="false" outlineLevel="0" collapsed="false">
      <c r="A210" s="0" t="s">
        <v>93</v>
      </c>
      <c r="B210" s="0" t="n">
        <v>8</v>
      </c>
      <c r="C210" s="0" t="s">
        <v>131</v>
      </c>
      <c r="D210" s="0" t="s">
        <v>28</v>
      </c>
      <c r="E210" s="0" t="s">
        <v>20</v>
      </c>
      <c r="F210" s="2" t="n">
        <v>1899</v>
      </c>
      <c r="G210" s="2" t="n">
        <v>1471</v>
      </c>
      <c r="H210" s="2" t="n">
        <v>3229</v>
      </c>
      <c r="I210" s="2" t="n">
        <v>2027</v>
      </c>
      <c r="J210" s="3" t="s">
        <v>57</v>
      </c>
      <c r="K210" s="0" t="n">
        <v>10</v>
      </c>
      <c r="L210" s="3" t="s">
        <v>22</v>
      </c>
      <c r="M210" s="3" t="s">
        <v>23</v>
      </c>
      <c r="N210" s="2" t="n">
        <v>1766.95</v>
      </c>
      <c r="O210" s="4" t="n">
        <v>-0.069536598209584</v>
      </c>
      <c r="P210" s="2" t="n">
        <f aca="false">IF(M210="YES",G210*(1-Assumptions!$B$1-Assumptions!$B$2)/((1+Assumptions!$B$3)*(1+Assumptions!$B$4)),"")</f>
        <v>1027.36507936508</v>
      </c>
      <c r="Q210" s="2" t="n">
        <f aca="false">IF(M210="YES",G210*(1-Assumptions!$B$1-Assumptions!$B$2)/((1+Assumptions!$B$3)*(1+Assumptions!$B$5)),"")</f>
        <v>862.986666666667</v>
      </c>
    </row>
    <row r="211" customFormat="false" ht="15" hidden="false" customHeight="false" outlineLevel="0" collapsed="false">
      <c r="A211" s="0" t="s">
        <v>93</v>
      </c>
      <c r="B211" s="0" t="n">
        <v>8</v>
      </c>
      <c r="C211" s="0" t="s">
        <v>131</v>
      </c>
      <c r="D211" s="0" t="s">
        <v>28</v>
      </c>
      <c r="E211" s="0" t="s">
        <v>24</v>
      </c>
      <c r="F211" s="2" t="n">
        <v>103</v>
      </c>
      <c r="G211" s="2" t="n">
        <v>81</v>
      </c>
      <c r="H211" s="2" t="n">
        <v>138</v>
      </c>
      <c r="I211" s="2" t="n">
        <v>91</v>
      </c>
      <c r="J211" s="3" t="s">
        <v>32</v>
      </c>
      <c r="K211" s="0" t="n">
        <v>19</v>
      </c>
      <c r="L211" s="3" t="s">
        <v>22</v>
      </c>
      <c r="M211" s="3" t="s">
        <v>23</v>
      </c>
      <c r="N211" s="2" t="n">
        <v>97.52</v>
      </c>
      <c r="O211" s="4" t="n">
        <v>-0.0532038834951457</v>
      </c>
      <c r="P211" s="2" t="n">
        <f aca="false">IF(M211="YES",G211*(1-Assumptions!$B$1-Assumptions!$B$2)/((1+Assumptions!$B$3)*(1+Assumptions!$B$4)),"")</f>
        <v>56.5714285714286</v>
      </c>
      <c r="Q211" s="2" t="n">
        <f aca="false">IF(M211="YES",G211*(1-Assumptions!$B$1-Assumptions!$B$2)/((1+Assumptions!$B$3)*(1+Assumptions!$B$5)),"")</f>
        <v>47.52</v>
      </c>
    </row>
    <row r="212" customFormat="false" ht="15" hidden="false" customHeight="false" outlineLevel="0" collapsed="false">
      <c r="A212" s="0" t="s">
        <v>93</v>
      </c>
      <c r="B212" s="0" t="n">
        <v>8</v>
      </c>
      <c r="C212" s="0" t="s">
        <v>131</v>
      </c>
      <c r="D212" s="0" t="s">
        <v>28</v>
      </c>
      <c r="E212" s="0" t="s">
        <v>26</v>
      </c>
      <c r="F212" s="2" t="n">
        <v>205</v>
      </c>
      <c r="G212" s="2" t="n">
        <v>151</v>
      </c>
      <c r="H212" s="2" t="n">
        <v>281</v>
      </c>
      <c r="I212" s="2" t="n">
        <v>255</v>
      </c>
      <c r="J212" s="3" t="s">
        <v>53</v>
      </c>
      <c r="K212" s="0" t="n">
        <v>15</v>
      </c>
      <c r="L212" s="3" t="s">
        <v>22</v>
      </c>
      <c r="M212" s="3" t="s">
        <v>23</v>
      </c>
      <c r="N212" s="2" t="n">
        <v>188.43</v>
      </c>
      <c r="O212" s="4" t="n">
        <v>-0.0808292682926828</v>
      </c>
      <c r="P212" s="2" t="n">
        <f aca="false">IF(M212="YES",G212*(1-Assumptions!$B$1-Assumptions!$B$2)/((1+Assumptions!$B$3)*(1+Assumptions!$B$4)),"")</f>
        <v>105.460317460317</v>
      </c>
      <c r="Q212" s="2" t="n">
        <f aca="false">IF(M212="YES",G212*(1-Assumptions!$B$1-Assumptions!$B$2)/((1+Assumptions!$B$3)*(1+Assumptions!$B$5)),"")</f>
        <v>88.5866666666667</v>
      </c>
    </row>
    <row r="213" customFormat="false" ht="15" hidden="false" customHeight="false" outlineLevel="0" collapsed="false">
      <c r="A213" s="0" t="s">
        <v>93</v>
      </c>
      <c r="B213" s="0" t="n">
        <v>9</v>
      </c>
      <c r="C213" s="0" t="s">
        <v>132</v>
      </c>
      <c r="D213" s="0" t="s">
        <v>19</v>
      </c>
      <c r="E213" s="0" t="s">
        <v>20</v>
      </c>
      <c r="F213" s="2" t="n">
        <v>2718</v>
      </c>
      <c r="G213" s="2" t="n">
        <v>2105</v>
      </c>
      <c r="H213" s="2" t="n">
        <v>4622</v>
      </c>
      <c r="I213" s="2" t="n">
        <v>3200</v>
      </c>
      <c r="J213" s="3" t="s">
        <v>35</v>
      </c>
      <c r="K213" s="0" t="n">
        <v>58</v>
      </c>
      <c r="L213" s="3" t="s">
        <v>22</v>
      </c>
      <c r="M213" s="3" t="s">
        <v>23</v>
      </c>
      <c r="N213" s="2" t="n">
        <v>2343.05</v>
      </c>
      <c r="O213" s="4" t="n">
        <v>-0.137950699043414</v>
      </c>
      <c r="P213" s="2" t="n">
        <f aca="false">IF(M213="YES",G213*(1-Assumptions!$B$1-Assumptions!$B$2)/((1+Assumptions!$B$3)*(1+Assumptions!$B$4)),"")</f>
        <v>1470.15873015873</v>
      </c>
      <c r="Q213" s="2" t="n">
        <f aca="false">IF(M213="YES",G213*(1-Assumptions!$B$1-Assumptions!$B$2)/((1+Assumptions!$B$3)*(1+Assumptions!$B$5)),"")</f>
        <v>1234.93333333333</v>
      </c>
    </row>
    <row r="214" customFormat="false" ht="15" hidden="false" customHeight="false" outlineLevel="0" collapsed="false">
      <c r="A214" s="0" t="s">
        <v>93</v>
      </c>
      <c r="B214" s="0" t="n">
        <v>9</v>
      </c>
      <c r="C214" s="0" t="s">
        <v>132</v>
      </c>
      <c r="D214" s="0" t="s">
        <v>19</v>
      </c>
      <c r="E214" s="0" t="s">
        <v>24</v>
      </c>
      <c r="F214" s="2" t="n">
        <v>140</v>
      </c>
      <c r="G214" s="2" t="n">
        <v>111</v>
      </c>
      <c r="H214" s="2" t="n">
        <v>187</v>
      </c>
      <c r="I214" s="2" t="n">
        <v>115</v>
      </c>
      <c r="J214" s="3" t="s">
        <v>72</v>
      </c>
      <c r="K214" s="0" t="n">
        <v>19</v>
      </c>
      <c r="L214" s="3" t="s">
        <v>22</v>
      </c>
      <c r="M214" s="3" t="s">
        <v>23</v>
      </c>
      <c r="N214" s="2" t="n">
        <v>138.37</v>
      </c>
      <c r="O214" s="4" t="n">
        <v>-0.011642857142857</v>
      </c>
      <c r="P214" s="2" t="n">
        <f aca="false">IF(M214="YES",G214*(1-Assumptions!$B$1-Assumptions!$B$2)/((1+Assumptions!$B$3)*(1+Assumptions!$B$4)),"")</f>
        <v>77.5238095238095</v>
      </c>
      <c r="Q214" s="2" t="n">
        <f aca="false">IF(M214="YES",G214*(1-Assumptions!$B$1-Assumptions!$B$2)/((1+Assumptions!$B$3)*(1+Assumptions!$B$5)),"")</f>
        <v>65.12</v>
      </c>
    </row>
    <row r="215" customFormat="false" ht="15" hidden="false" customHeight="false" outlineLevel="0" collapsed="false">
      <c r="A215" s="0" t="s">
        <v>93</v>
      </c>
      <c r="B215" s="0" t="n">
        <v>9</v>
      </c>
      <c r="C215" s="0" t="s">
        <v>132</v>
      </c>
      <c r="D215" s="0" t="s">
        <v>19</v>
      </c>
      <c r="E215" s="0" t="s">
        <v>26</v>
      </c>
      <c r="F215" s="2" t="n">
        <v>246</v>
      </c>
      <c r="G215" s="2" t="n">
        <v>181</v>
      </c>
      <c r="H215" s="2" t="n">
        <v>337</v>
      </c>
      <c r="I215" s="2" t="n">
        <v>243</v>
      </c>
      <c r="J215" s="3" t="s">
        <v>42</v>
      </c>
      <c r="K215" s="0" t="n">
        <v>21</v>
      </c>
      <c r="L215" s="3" t="s">
        <v>22</v>
      </c>
      <c r="M215" s="3" t="s">
        <v>23</v>
      </c>
      <c r="N215" s="2" t="n">
        <v>250.92</v>
      </c>
      <c r="O215" s="4" t="n">
        <v>0.02</v>
      </c>
      <c r="P215" s="2" t="n">
        <f aca="false">IF(M215="YES",G215*(1-Assumptions!$B$1-Assumptions!$B$2)/((1+Assumptions!$B$3)*(1+Assumptions!$B$4)),"")</f>
        <v>126.412698412698</v>
      </c>
      <c r="Q215" s="2" t="n">
        <f aca="false">IF(M215="YES",G215*(1-Assumptions!$B$1-Assumptions!$B$2)/((1+Assumptions!$B$3)*(1+Assumptions!$B$5)),"")</f>
        <v>106.186666666667</v>
      </c>
    </row>
    <row r="216" customFormat="false" ht="15" hidden="false" customHeight="false" outlineLevel="0" collapsed="false">
      <c r="A216" s="0" t="s">
        <v>93</v>
      </c>
      <c r="B216" s="0" t="n">
        <v>9</v>
      </c>
      <c r="C216" s="0" t="s">
        <v>132</v>
      </c>
      <c r="D216" s="0" t="s">
        <v>28</v>
      </c>
      <c r="E216" s="0" t="s">
        <v>20</v>
      </c>
      <c r="F216" s="2" t="n">
        <v>750</v>
      </c>
      <c r="G216" s="2" t="n">
        <v>581</v>
      </c>
      <c r="H216" s="2" t="n">
        <v>1276</v>
      </c>
      <c r="I216" s="2" t="n">
        <v>589</v>
      </c>
      <c r="J216" s="3" t="s">
        <v>133</v>
      </c>
      <c r="K216" s="0" t="n">
        <v>5</v>
      </c>
      <c r="L216" s="3" t="s">
        <v>22</v>
      </c>
      <c r="M216" s="3" t="s">
        <v>23</v>
      </c>
      <c r="N216" s="2" t="n">
        <v>589</v>
      </c>
      <c r="O216" s="4" t="n">
        <v>-0.214666666666667</v>
      </c>
      <c r="P216" s="2" t="n">
        <f aca="false">IF(M216="YES",G216*(1-Assumptions!$B$1-Assumptions!$B$2)/((1+Assumptions!$B$3)*(1+Assumptions!$B$4)),"")</f>
        <v>405.777777777778</v>
      </c>
      <c r="Q216" s="2" t="n">
        <f aca="false">IF(M216="YES",G216*(1-Assumptions!$B$1-Assumptions!$B$2)/((1+Assumptions!$B$3)*(1+Assumptions!$B$5)),"")</f>
        <v>340.853333333333</v>
      </c>
    </row>
    <row r="217" customFormat="false" ht="15" hidden="false" customHeight="false" outlineLevel="0" collapsed="false">
      <c r="A217" s="0" t="s">
        <v>93</v>
      </c>
      <c r="B217" s="0" t="n">
        <v>9</v>
      </c>
      <c r="C217" s="0" t="s">
        <v>132</v>
      </c>
      <c r="D217" s="0" t="s">
        <v>28</v>
      </c>
      <c r="E217" s="0" t="s">
        <v>24</v>
      </c>
      <c r="F217" s="2" t="n">
        <v>76</v>
      </c>
      <c r="G217" s="2" t="n">
        <v>60</v>
      </c>
      <c r="H217" s="2" t="n">
        <v>101</v>
      </c>
      <c r="I217" s="2" t="n">
        <v>75</v>
      </c>
      <c r="J217" s="3" t="s">
        <v>57</v>
      </c>
      <c r="K217" s="0" t="n">
        <v>17</v>
      </c>
      <c r="L217" s="3" t="s">
        <v>22</v>
      </c>
      <c r="M217" s="3" t="s">
        <v>23</v>
      </c>
      <c r="N217" s="2" t="n">
        <v>76.24</v>
      </c>
      <c r="O217" s="4" t="n">
        <v>0.003157894736842</v>
      </c>
      <c r="P217" s="2" t="n">
        <f aca="false">IF(M217="YES",G217*(1-Assumptions!$B$1-Assumptions!$B$2)/((1+Assumptions!$B$3)*(1+Assumptions!$B$4)),"")</f>
        <v>41.9047619047619</v>
      </c>
      <c r="Q217" s="2" t="n">
        <f aca="false">IF(M217="YES",G217*(1-Assumptions!$B$1-Assumptions!$B$2)/((1+Assumptions!$B$3)*(1+Assumptions!$B$5)),"")</f>
        <v>35.2</v>
      </c>
    </row>
    <row r="218" customFormat="false" ht="15" hidden="false" customHeight="false" outlineLevel="0" collapsed="false">
      <c r="A218" s="0" t="s">
        <v>93</v>
      </c>
      <c r="B218" s="0" t="n">
        <v>9</v>
      </c>
      <c r="C218" s="0" t="s">
        <v>132</v>
      </c>
      <c r="D218" s="0" t="s">
        <v>28</v>
      </c>
      <c r="E218" s="0" t="s">
        <v>26</v>
      </c>
      <c r="F218" s="2" t="n">
        <v>127</v>
      </c>
      <c r="G218" s="2" t="n">
        <v>94</v>
      </c>
      <c r="H218" s="2" t="n">
        <v>175</v>
      </c>
      <c r="I218" s="2" t="n">
        <v>119</v>
      </c>
      <c r="J218" s="3" t="s">
        <v>35</v>
      </c>
      <c r="K218" s="0" t="n">
        <v>19</v>
      </c>
      <c r="L218" s="3" t="s">
        <v>22</v>
      </c>
      <c r="M218" s="3" t="s">
        <v>23</v>
      </c>
      <c r="N218" s="2" t="n">
        <v>130.37</v>
      </c>
      <c r="O218" s="4" t="n">
        <v>0.0265354330708662</v>
      </c>
      <c r="P218" s="2" t="n">
        <f aca="false">IF(M218="YES",G218*(1-Assumptions!$B$1-Assumptions!$B$2)/((1+Assumptions!$B$3)*(1+Assumptions!$B$4)),"")</f>
        <v>65.6507936507936</v>
      </c>
      <c r="Q218" s="2" t="n">
        <f aca="false">IF(M218="YES",G218*(1-Assumptions!$B$1-Assumptions!$B$2)/((1+Assumptions!$B$3)*(1+Assumptions!$B$5)),"")</f>
        <v>55.1466666666667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134</v>
      </c>
      <c r="B1" s="5" t="n">
        <v>0.1</v>
      </c>
    </row>
    <row r="2" customFormat="false" ht="15" hidden="false" customHeight="false" outlineLevel="0" collapsed="false">
      <c r="A2" s="0" t="s">
        <v>135</v>
      </c>
      <c r="B2" s="5" t="n">
        <v>0.02</v>
      </c>
    </row>
    <row r="3" customFormat="false" ht="15" hidden="false" customHeight="false" outlineLevel="0" collapsed="false">
      <c r="A3" s="0" t="s">
        <v>136</v>
      </c>
      <c r="B3" s="5" t="n">
        <v>0.2</v>
      </c>
    </row>
    <row r="4" customFormat="false" ht="15" hidden="false" customHeight="false" outlineLevel="0" collapsed="false">
      <c r="A4" s="0" t="s">
        <v>137</v>
      </c>
      <c r="B4" s="5" t="n">
        <v>0.05</v>
      </c>
    </row>
    <row r="5" customFormat="false" ht="15" hidden="false" customHeight="false" outlineLevel="0" collapsed="false">
      <c r="A5" s="0" t="s">
        <v>138</v>
      </c>
      <c r="B5" s="5" t="n">
        <v>0.25</v>
      </c>
    </row>
    <row r="7" customFormat="false" ht="15" hidden="false" customHeight="false" outlineLevel="0" collapsed="false">
      <c r="A7" s="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0" t="s">
        <v>140</v>
      </c>
    </row>
    <row r="2" customFormat="false" ht="15" hidden="false" customHeight="false" outlineLevel="0" collapsed="false">
      <c r="A2" s="0" t="s">
        <v>141</v>
      </c>
      <c r="B2" s="0" t="s">
        <v>142</v>
      </c>
    </row>
    <row r="3" customFormat="false" ht="15" hidden="false" customHeight="false" outlineLevel="0" collapsed="false">
      <c r="A3" s="0" t="s">
        <v>20</v>
      </c>
      <c r="B3" s="0" t="s">
        <v>143</v>
      </c>
    </row>
    <row r="4" customFormat="false" ht="15" hidden="false" customHeight="false" outlineLevel="0" collapsed="false">
      <c r="A4" s="0" t="s">
        <v>26</v>
      </c>
      <c r="B4" s="0" t="s">
        <v>144</v>
      </c>
    </row>
    <row r="5" customFormat="false" ht="15" hidden="false" customHeight="false" outlineLevel="0" collapsed="false">
      <c r="A5" s="0" t="s">
        <v>24</v>
      </c>
      <c r="B5" s="0" t="s">
        <v>145</v>
      </c>
    </row>
    <row r="6" customFormat="false" ht="15" hidden="false" customHeight="false" outlineLevel="0" collapsed="false">
      <c r="A6" s="0" t="s">
        <v>146</v>
      </c>
      <c r="B6" s="0" t="s">
        <v>147</v>
      </c>
    </row>
    <row r="7" customFormat="false" ht="15" hidden="false" customHeight="false" outlineLevel="0" collapsed="false">
      <c r="A7" s="0" t="s">
        <v>148</v>
      </c>
      <c r="B7" s="0" t="s">
        <v>149</v>
      </c>
    </row>
    <row r="8" customFormat="false" ht="15" hidden="false" customHeight="false" outlineLevel="0" collapsed="false">
      <c r="A8" s="0" t="s">
        <v>150</v>
      </c>
      <c r="B8" s="0" t="s">
        <v>151</v>
      </c>
    </row>
    <row r="9" customFormat="false" ht="15" hidden="false" customHeight="false" outlineLevel="0" collapsed="false">
      <c r="A9" s="0" t="s">
        <v>152</v>
      </c>
      <c r="B9" s="0" t="s">
        <v>153</v>
      </c>
    </row>
    <row r="10" customFormat="false" ht="15" hidden="false" customHeight="false" outlineLevel="0" collapsed="false">
      <c r="A10" s="0" t="s">
        <v>154</v>
      </c>
      <c r="B10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2026-09-29T15:42:07Z</dcterms:created>
  <dc:creator>openpyxl</dc:creator>
  <dc:description/>
  <dc:language>en-US</dc:language>
  <cp:lastModifiedBy/>
  <dcterms:modified xsi:type="dcterms:W3CDTF">2026-09-29T15:42:07Z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